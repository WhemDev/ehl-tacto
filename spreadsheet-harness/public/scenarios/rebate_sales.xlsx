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F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18.83203125" customWidth="1"/>
    <col min="2" max="2" width="9.83203125" customWidth="1"/>
    <col min="3" max="3" width="10.83203125" customWidth="1"/>
    <col min="4" max="4" width="12.83203125" customWidth="1"/>
    <col min="5" max="5" width="10.83203125" customWidth="1"/>
    <col min="6" max="6" width="15.83203125" customWidth="1"/>
  </cols>
  <sheetData>
    <row r="1">
      <c r="A1" t="str">
        <v>MONTHLY SALES EXTRACT</v>
      </c>
    </row>
    <row r="2">
      <c r="A2" t="str">
        <v>Generated from the billing system — do not edit</v>
      </c>
    </row>
    <row r="3">
      <c r="A3" t="str">
        <v>Customer</v>
      </c>
      <c r="B3" t="str">
        <v>Region</v>
      </c>
      <c r="C3" t="str">
        <v>Month</v>
      </c>
      <c r="D3" t="str">
        <v>Net Sales</v>
      </c>
      <c r="E3" t="str">
        <v>Currency</v>
      </c>
      <c r="F3" t="str">
        <v>Net Sales EUR</v>
      </c>
    </row>
    <row r="4">
      <c r="A4" t="str">
        <v>Aldergrove Ltd</v>
      </c>
      <c r="B4" t="str">
        <v>UK</v>
      </c>
      <c r="C4" t="str">
        <v>2026-04</v>
      </c>
      <c r="D4">
        <v>93550</v>
      </c>
      <c r="E4" t="str">
        <v>GBP</v>
      </c>
      <c r="F4" s="1">
        <f>D4*VLOOKUP(E4,FX!$A:$B,2,FALSE)</f>
        <v>109453.5</v>
      </c>
    </row>
    <row r="5">
      <c r="A5" t="str">
        <v>Aldergrove Ltd</v>
      </c>
      <c r="B5" t="str">
        <v>UK</v>
      </c>
      <c r="C5" t="str">
        <v>2026-05</v>
      </c>
      <c r="D5">
        <v>81000</v>
      </c>
      <c r="E5" t="str">
        <v>GBP</v>
      </c>
      <c r="F5" s="1">
        <f>D5*VLOOKUP(E5,FX!$A:$B,2,FALSE)</f>
        <v>94770</v>
      </c>
    </row>
    <row r="6">
      <c r="A6" t="str">
        <v>Aldergrove Ltd</v>
      </c>
      <c r="B6" t="str">
        <v>UK</v>
      </c>
      <c r="C6" t="str">
        <v>2026-06</v>
      </c>
      <c r="D6">
        <v>25400</v>
      </c>
      <c r="E6" t="str">
        <v>GBP</v>
      </c>
      <c r="F6" s="1">
        <f>D6*VLOOKUP(E6,FX!$A:$B,2,FALSE)</f>
        <v>29718</v>
      </c>
    </row>
    <row r="7">
      <c r="A7" t="str">
        <v>Aldergrove Ltd</v>
      </c>
      <c r="B7" t="str">
        <v>UK</v>
      </c>
      <c r="C7" t="str">
        <v>2026-07</v>
      </c>
      <c r="D7">
        <v>48500</v>
      </c>
      <c r="E7" t="str">
        <v>GBP</v>
      </c>
      <c r="F7" s="1">
        <f>D7*VLOOKUP(E7,FX!$A:$B,2,FALSE)</f>
        <v>56745</v>
      </c>
    </row>
    <row r="8">
      <c r="A8" t="str">
        <v>Brentmoor SA</v>
      </c>
      <c r="B8" t="str">
        <v>FR</v>
      </c>
      <c r="C8" t="str">
        <v>2026-04</v>
      </c>
      <c r="D8">
        <v>90200</v>
      </c>
      <c r="E8" t="str">
        <v>EUR</v>
      </c>
      <c r="F8" s="1">
        <f>D8*VLOOKUP(E8,FX!$A:$B,2,FALSE)</f>
        <v>90200</v>
      </c>
    </row>
    <row r="9">
      <c r="A9" t="str">
        <v>Brentmoor SA</v>
      </c>
      <c r="B9" t="str">
        <v>FR</v>
      </c>
      <c r="C9" t="str">
        <v>2026-05</v>
      </c>
      <c r="D9">
        <v>55550</v>
      </c>
      <c r="E9" t="str">
        <v>EUR</v>
      </c>
      <c r="F9" s="1">
        <f>D9*VLOOKUP(E9,FX!$A:$B,2,FALSE)</f>
        <v>55550</v>
      </c>
    </row>
    <row r="10">
      <c r="A10" t="str">
        <v>Brentmoor SA</v>
      </c>
      <c r="B10" t="str">
        <v>FR</v>
      </c>
      <c r="C10" t="str">
        <v>2026-06</v>
      </c>
      <c r="D10">
        <v>32250</v>
      </c>
      <c r="E10" t="str">
        <v>EUR</v>
      </c>
      <c r="F10" s="1">
        <f>D10*VLOOKUP(E10,FX!$A:$B,2,FALSE)</f>
        <v>32250</v>
      </c>
    </row>
    <row r="11">
      <c r="A11" t="str">
        <v>Brentmoor SA</v>
      </c>
      <c r="B11" t="str">
        <v>FR</v>
      </c>
      <c r="C11" t="str">
        <v>2026-07</v>
      </c>
      <c r="D11">
        <v>89100</v>
      </c>
      <c r="E11" t="str">
        <v>EUR</v>
      </c>
      <c r="F11" s="1">
        <f>D11*VLOOKUP(E11,FX!$A:$B,2,FALSE)</f>
        <v>89100</v>
      </c>
    </row>
    <row r="12">
      <c r="A12" t="str">
        <v>Calderon Inc</v>
      </c>
      <c r="B12" t="str">
        <v>US</v>
      </c>
      <c r="C12" t="str">
        <v>2026-04</v>
      </c>
      <c r="D12">
        <v>37850</v>
      </c>
      <c r="E12" t="str">
        <v>USD</v>
      </c>
      <c r="F12" s="1">
        <f>D12*VLOOKUP(E12,FX!$A:$B,2,FALSE)</f>
        <v>34822</v>
      </c>
    </row>
    <row r="13">
      <c r="A13" t="str">
        <v>Calderon Inc</v>
      </c>
      <c r="B13" t="str">
        <v>US</v>
      </c>
      <c r="C13" t="str">
        <v>2026-05</v>
      </c>
      <c r="D13">
        <v>67300</v>
      </c>
      <c r="E13" t="str">
        <v>USD</v>
      </c>
      <c r="F13" s="1">
        <f>D13*VLOOKUP(E13,FX!$A:$B,2,FALSE)</f>
        <v>61916</v>
      </c>
    </row>
    <row r="14">
      <c r="A14" t="str">
        <v>Calderon Inc</v>
      </c>
      <c r="B14" t="str">
        <v>US</v>
      </c>
      <c r="C14" t="str">
        <v>2026-06</v>
      </c>
      <c r="D14">
        <v>35650</v>
      </c>
      <c r="E14" t="str">
        <v>USD</v>
      </c>
      <c r="F14" s="1">
        <f>D14*VLOOKUP(E14,FX!$A:$B,2,FALSE)</f>
        <v>32798</v>
      </c>
    </row>
    <row r="15">
      <c r="A15" t="str">
        <v>Calderon Inc</v>
      </c>
      <c r="B15" t="str">
        <v>US</v>
      </c>
      <c r="C15" t="str">
        <v>2026-07</v>
      </c>
      <c r="D15">
        <v>43500</v>
      </c>
      <c r="E15" t="str">
        <v>USD</v>
      </c>
      <c r="F15" s="1">
        <f>D15*VLOOKUP(E15,FX!$A:$B,2,FALSE)</f>
        <v>40020</v>
      </c>
    </row>
    <row r="16">
      <c r="A16" t="str">
        <v>Dornbach GmbH</v>
      </c>
      <c r="B16" t="str">
        <v>DE</v>
      </c>
      <c r="C16" t="str">
        <v>2026-04</v>
      </c>
      <c r="D16">
        <v>19550</v>
      </c>
      <c r="E16" t="str">
        <v>EUR</v>
      </c>
      <c r="F16" s="1">
        <f>D16*VLOOKUP(E16,FX!$A:$B,2,FALSE)</f>
        <v>19550</v>
      </c>
    </row>
    <row r="17">
      <c r="A17" t="str">
        <v>Dornbach GmbH</v>
      </c>
      <c r="B17" t="str">
        <v>DE</v>
      </c>
      <c r="C17" t="str">
        <v>2026-05</v>
      </c>
      <c r="D17">
        <v>96950</v>
      </c>
      <c r="E17" t="str">
        <v>EUR</v>
      </c>
      <c r="F17" s="1">
        <f>D17*VLOOKUP(E17,FX!$A:$B,2,FALSE)</f>
        <v>96950</v>
      </c>
    </row>
    <row r="18">
      <c r="A18" t="str">
        <v>Dornbach GmbH</v>
      </c>
      <c r="B18" t="str">
        <v>DE</v>
      </c>
      <c r="C18" t="str">
        <v>2026-06</v>
      </c>
      <c r="D18">
        <v>13850</v>
      </c>
      <c r="E18" t="str">
        <v>EUR</v>
      </c>
      <c r="F18" s="1">
        <f>D18*VLOOKUP(E18,FX!$A:$B,2,FALSE)</f>
        <v>13850</v>
      </c>
    </row>
    <row r="19">
      <c r="A19" t="str">
        <v>Dornbach GmbH</v>
      </c>
      <c r="B19" t="str">
        <v>DE</v>
      </c>
      <c r="C19" t="str">
        <v>2026-07</v>
      </c>
      <c r="D19">
        <v>8300</v>
      </c>
      <c r="E19" t="str">
        <v>EUR</v>
      </c>
      <c r="F19" s="1">
        <f>D19*VLOOKUP(E19,FX!$A:$B,2,FALSE)</f>
        <v>8300</v>
      </c>
    </row>
    <row r="20">
      <c r="A20" t="str">
        <v>Eastvale Corp</v>
      </c>
      <c r="B20" t="str">
        <v>US</v>
      </c>
      <c r="C20" t="str">
        <v>2026-04</v>
      </c>
      <c r="D20">
        <v>26100</v>
      </c>
      <c r="E20" t="str">
        <v>USD</v>
      </c>
      <c r="F20" s="1">
        <f>D20*VLOOKUP(E20,FX!$A:$B,2,FALSE)</f>
        <v>24012</v>
      </c>
    </row>
    <row r="21">
      <c r="A21" t="str">
        <v>Eastvale Corp</v>
      </c>
      <c r="B21" t="str">
        <v>US</v>
      </c>
      <c r="C21" t="str">
        <v>2026-05</v>
      </c>
      <c r="D21">
        <v>9250</v>
      </c>
      <c r="E21" t="str">
        <v>USD</v>
      </c>
      <c r="F21" s="1">
        <f>D21*VLOOKUP(E21,FX!$A:$B,2,FALSE)</f>
        <v>8510</v>
      </c>
    </row>
    <row r="22">
      <c r="A22" t="str">
        <v>Eastvale Corp</v>
      </c>
      <c r="B22" t="str">
        <v>US</v>
      </c>
      <c r="C22" t="str">
        <v>2026-06</v>
      </c>
      <c r="D22">
        <v>76750</v>
      </c>
      <c r="E22" t="str">
        <v>USD</v>
      </c>
      <c r="F22" s="1">
        <f>D22*VLOOKUP(E22,FX!$A:$B,2,FALSE)</f>
        <v>70610</v>
      </c>
    </row>
    <row r="23">
      <c r="A23" t="str">
        <v>Eastvale Corp</v>
      </c>
      <c r="B23" t="str">
        <v>US</v>
      </c>
      <c r="C23" t="str">
        <v>2026-07</v>
      </c>
      <c r="D23">
        <v>52300</v>
      </c>
      <c r="E23" t="str">
        <v>USD</v>
      </c>
      <c r="F23" s="1">
        <f>D23*VLOOKUP(E23,FX!$A:$B,2,FALSE)</f>
        <v>48116</v>
      </c>
    </row>
    <row r="24">
      <c r="A24" t="str">
        <v>Fenwick PLC</v>
      </c>
      <c r="B24" t="str">
        <v>UK</v>
      </c>
      <c r="C24" t="str">
        <v>2026-04</v>
      </c>
      <c r="D24">
        <v>37900</v>
      </c>
      <c r="E24" t="str">
        <v>GBP</v>
      </c>
      <c r="F24" s="1">
        <f>D24*VLOOKUP(E24,FX!$A:$B,2,FALSE)</f>
        <v>44343</v>
      </c>
    </row>
    <row r="25">
      <c r="A25" t="str">
        <v>Fenwick PLC</v>
      </c>
      <c r="B25" t="str">
        <v>UK</v>
      </c>
      <c r="C25" t="str">
        <v>2026-05</v>
      </c>
      <c r="D25">
        <v>11950</v>
      </c>
      <c r="E25" t="str">
        <v>GBP</v>
      </c>
      <c r="F25" s="1">
        <f>D25*VLOOKUP(E25,FX!$A:$B,2,FALSE)</f>
        <v>13981.5</v>
      </c>
    </row>
    <row r="26">
      <c r="A26" t="str">
        <v>Fenwick PLC</v>
      </c>
      <c r="B26" t="str">
        <v>UK</v>
      </c>
      <c r="C26" t="str">
        <v>2026-06</v>
      </c>
      <c r="D26">
        <v>50150</v>
      </c>
      <c r="E26" t="str">
        <v>GBP</v>
      </c>
      <c r="F26" s="1">
        <f>D26*VLOOKUP(E26,FX!$A:$B,2,FALSE)</f>
        <v>58675.5</v>
      </c>
    </row>
    <row r="27">
      <c r="A27" t="str">
        <v>Fenwick PLC</v>
      </c>
      <c r="B27" t="str">
        <v>UK</v>
      </c>
      <c r="C27" t="str">
        <v>2026-07</v>
      </c>
      <c r="D27">
        <v>22700</v>
      </c>
      <c r="E27" t="str">
        <v>GBP</v>
      </c>
      <c r="F27" s="1">
        <f>D27*VLOOKUP(E27,FX!$A:$B,2,FALSE)</f>
        <v>26559</v>
      </c>
    </row>
  </sheetData>
  <mergeCells count="1">
    <mergeCell ref="A1:D1"/>
  </mergeCells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0.83203125" customWidth="1"/>
    <col min="2" max="2" width="13.83203125" customWidth="1"/>
  </cols>
  <sheetData>
    <row r="1">
      <c r="A1" t="str">
        <v>Currency</v>
      </c>
      <c r="B1" t="str">
        <v>Rate to EUR</v>
      </c>
    </row>
    <row r="2">
      <c r="A2" t="str">
        <v>EUR</v>
      </c>
      <c r="B2">
        <v>1</v>
      </c>
    </row>
    <row r="3">
      <c r="A3" t="str">
        <v>USD</v>
      </c>
      <c r="B3">
        <v>0.92</v>
      </c>
    </row>
    <row r="4">
      <c r="A4" t="str">
        <v>GBP</v>
      </c>
      <c r="B4">
        <v>1.17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FX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