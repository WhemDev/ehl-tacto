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bate Cal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4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8.83203125" customWidth="1"/>
    <col min="2" max="2" width="16.83203125" customWidth="1"/>
    <col min="3" max="3" width="11.83203125" customWidth="1"/>
    <col min="4" max="4" width="13.83203125" customWidth="1"/>
    <col min="5" max="5" width="14.83203125" customWidth="1"/>
    <col min="6" max="6" width="12.83203125" customWidth="1"/>
    <col min="7" max="7" width="14.83203125" customWidth="1"/>
  </cols>
  <sheetData>
    <row r="1">
      <c r="A1" t="str">
        <v>Customer</v>
      </c>
      <c r="B1" t="str">
        <v>Total Sales EUR</v>
      </c>
      <c r="C1" t="str">
        <v>Tier Rate</v>
      </c>
      <c r="D1" t="str">
        <v>Rebate Due</v>
      </c>
      <c r="E1" t="str">
        <v>Approved By</v>
      </c>
      <c r="F1" t="str">
        <v>Adjustment</v>
      </c>
      <c r="G1" t="str">
        <v>Final Rebate</v>
      </c>
    </row>
    <row r="2">
      <c r="A2" t="str">
        <v>Aldergrove Ltd</v>
      </c>
      <c r="B2" s="1">
        <f>SUMIF('[rebate_sales.xlsx]Sales'!$A:$A,A2,'[rebate_sales.xlsx]Sales'!$F:$F)</f>
        <v>290686.5</v>
      </c>
      <c r="C2" s="2">
        <f>LOOKUP(B2,'[rebate_tiers.xlsx]Tiers'!$A$2:$A$5,'[rebate_tiers.xlsx]Tiers'!$B$2:$B$5)</f>
        <v>0.035</v>
      </c>
      <c r="D2" s="1">
        <f>B2*C2</f>
        <v>10174.03</v>
      </c>
      <c r="E2" t="str">
        <v>R. Okafor</v>
      </c>
      <c r="G2" s="1">
        <f>D2+IF(F2="",0,F2)</f>
        <v>10174.03</v>
      </c>
    </row>
    <row r="3">
      <c r="A3" t="str">
        <v>Brentmoor SA</v>
      </c>
      <c r="B3" s="1">
        <f>SUMIF('[rebate_sales.xlsx]Sales'!$A:$A,A3,'[rebate_sales.xlsx]Sales'!$F:$F)</f>
        <v>267100</v>
      </c>
      <c r="C3" s="2">
        <f>LOOKUP(B3,'[rebate_tiers.xlsx]Tiers'!$A$2:$A$5,'[rebate_tiers.xlsx]Tiers'!$B$2:$B$5)</f>
        <v>0.035</v>
      </c>
      <c r="D3" s="1">
        <f>B3*C3</f>
        <v>9348.5</v>
      </c>
      <c r="F3" s="3">
        <v>-450</v>
      </c>
      <c r="G3" s="1">
        <f>D3+IF(F3="",0,F3)</f>
        <v>8898.5</v>
      </c>
    </row>
    <row r="4">
      <c r="A4" t="str">
        <v>Calderon Inc</v>
      </c>
      <c r="B4" s="1">
        <f>SUMIF('[rebate_sales.xlsx]Sales'!$A:$A,A4,'[rebate_sales.xlsx]Sales'!$F:$F)</f>
        <v>169556</v>
      </c>
      <c r="C4" s="2">
        <f>LOOKUP(B4,'[rebate_tiers.xlsx]Tiers'!$A$2:$A$5,'[rebate_tiers.xlsx]Tiers'!$B$2:$B$5)</f>
        <v>0.035</v>
      </c>
      <c r="D4" s="1">
        <f>B4*C4</f>
        <v>5934.46</v>
      </c>
      <c r="E4" t="str">
        <v>R. Okafor</v>
      </c>
      <c r="G4" s="1">
        <f>D4+IF(F4="",0,F4)</f>
        <v>5934.46</v>
      </c>
    </row>
    <row r="5">
      <c r="A5" t="str">
        <v>Dornbach GmbH</v>
      </c>
      <c r="B5" s="1">
        <f>SUMIF('[rebate_sales.xlsx]Sales'!$A:$A,A5,'[rebate_sales.xlsx]Sales'!$F:$F)</f>
        <v>138650</v>
      </c>
      <c r="C5" s="2">
        <f>LOOKUP(B5,'[rebate_tiers.xlsx]Tiers'!$A$2:$A$5,'[rebate_tiers.xlsx]Tiers'!$B$2:$B$5)</f>
        <v>0.02</v>
      </c>
      <c r="D5" s="1">
        <f>B5*C5</f>
        <v>2773</v>
      </c>
      <c r="G5" s="1">
        <f>D5+IF(F5="",0,F5)</f>
        <v>2773</v>
      </c>
    </row>
    <row r="6">
      <c r="A6" t="str">
        <v>Eastvale Corp</v>
      </c>
      <c r="B6" s="1">
        <f>SUMIF('[rebate_sales.xlsx]Sales'!$A:$A,A6,'[rebate_sales.xlsx]Sales'!$F:$F)</f>
        <v>151248</v>
      </c>
      <c r="C6" s="2">
        <f>LOOKUP(B6,'[rebate_tiers.xlsx]Tiers'!$A$2:$A$5,'[rebate_tiers.xlsx]Tiers'!$B$2:$B$5)</f>
        <v>0.035</v>
      </c>
      <c r="D6" s="1">
        <f>B6*C6</f>
        <v>5293.68</v>
      </c>
      <c r="E6" t="str">
        <v>M. Silva</v>
      </c>
      <c r="F6" s="3">
        <v>1200</v>
      </c>
      <c r="G6" s="1">
        <f>D6+IF(F6="",0,F6)</f>
        <v>6493.68</v>
      </c>
    </row>
    <row r="7">
      <c r="A7" t="str">
        <v>Fenwick PLC</v>
      </c>
      <c r="B7" s="1">
        <f>SUMIF('[rebate_sales.xlsx]Sales'!$A:$A,A7,'[rebate_sales.xlsx]Sales'!$F:$F)</f>
        <v>143559</v>
      </c>
      <c r="C7" s="2">
        <f>LOOKUP(B7,'[rebate_tiers.xlsx]Tiers'!$A$2:$A$5,'[rebate_tiers.xlsx]Tiers'!$B$2:$B$5)</f>
        <v>0.02</v>
      </c>
      <c r="D7" s="1">
        <f>B7*C7</f>
        <v>2871.18</v>
      </c>
      <c r="G7" s="1">
        <f>D7+IF(F7="",0,F7)</f>
        <v>2871.18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Rebate Calc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