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cols>
    <col min="1" max="1" width="11.83203125" customWidth="1"/>
    <col min="2" max="2" width="24.83203125" customWidth="1"/>
    <col min="3" max="3" width="11.83203125" customWidth="1"/>
    <col min="4" max="4" width="26.83203125" customWidth="1"/>
    <col min="5" max="5" width="10.83203125" customWidth="1"/>
    <col min="6" max="6" width="12.83203125" customWidth="1"/>
    <col min="7" max="7" width="12.83203125" customWidth="1"/>
    <col min="8" max="8" width="10.83203125" customWidth="1"/>
    <col min="9" max="9" width="9.83203125" customWidth="1"/>
    <col min="10" max="10" width="30.83203125" customWidth="1"/>
    <col min="11" max="11" width="14.83203125" customWidth="1"/>
  </cols>
  <sheetData>
    <row r="1">
      <c r="A1" t="str">
        <v>Order No</v>
      </c>
      <c r="B1" t="str">
        <v>Customer</v>
      </c>
      <c r="C1" t="str">
        <v>Item Code</v>
      </c>
      <c r="D1" t="str">
        <v>Description</v>
      </c>
      <c r="E1" t="str">
        <v>Order Qty</v>
      </c>
      <c r="F1" t="str">
        <v>Qty Shipped</v>
      </c>
      <c r="G1" t="str">
        <v>Due Date</v>
      </c>
      <c r="H1" t="str">
        <v>Status</v>
      </c>
      <c r="I1" t="str">
        <v>Priority</v>
      </c>
      <c r="J1" t="str">
        <v>Routing</v>
      </c>
      <c r="K1" t="str">
        <v>Remaining Qty</v>
      </c>
    </row>
    <row r="2">
      <c r="A2" t="str">
        <v>SO-21400</v>
      </c>
      <c r="B2" t="str">
        <v>Halstead Plant Ltd</v>
      </c>
      <c r="C2" t="str">
        <v>HS-90</v>
      </c>
      <c r="D2" t="str">
        <v>Housing Shell 90L</v>
      </c>
      <c r="E2">
        <v>65</v>
      </c>
      <c r="F2">
        <v>0</v>
      </c>
      <c r="G2" s="1" t="d">
        <v>2026-10-04T03:00:00.000Z</v>
      </c>
      <c r="H2" t="str">
        <v>Open</v>
      </c>
      <c r="I2" t="str">
        <v>Normal</v>
      </c>
      <c r="J2" t="str">
        <v>CUT-WELD-MACH-PAINT-ASSY-TEST</v>
      </c>
      <c r="K2">
        <f>E2-F2</f>
        <v>65</v>
      </c>
    </row>
    <row r="3">
      <c r="A3" t="str">
        <v>SO-21403</v>
      </c>
      <c r="B3" t="str">
        <v>Northgate Systems</v>
      </c>
      <c r="C3" t="str">
        <v>PL-330</v>
      </c>
      <c r="D3" t="str">
        <v>Base Plate 330sq</v>
      </c>
      <c r="E3">
        <v>15</v>
      </c>
      <c r="F3">
        <v>0</v>
      </c>
      <c r="G3" s="1" t="d">
        <v>2026-10-04T03:00:00.000Z</v>
      </c>
      <c r="H3" t="str">
        <v>On Hold</v>
      </c>
      <c r="I3" t="str">
        <v>Normal</v>
      </c>
      <c r="J3" t="str">
        <v>CUT-MACH</v>
      </c>
      <c r="K3">
        <f>E3-F3</f>
        <v>15</v>
      </c>
    </row>
    <row r="4">
      <c r="A4" t="str">
        <v>SO-21406</v>
      </c>
      <c r="B4" t="str">
        <v>Wexler Industrial</v>
      </c>
      <c r="C4" t="str">
        <v>CV-75</v>
      </c>
      <c r="D4" t="str">
        <v>Conveyor Section 75</v>
      </c>
      <c r="E4">
        <v>50</v>
      </c>
      <c r="F4">
        <v>0</v>
      </c>
      <c r="G4" s="1" t="d">
        <v>2026-08-04T03:00:00.000Z</v>
      </c>
      <c r="H4" t="str">
        <v>Open</v>
      </c>
      <c r="I4" t="str">
        <v>Normal</v>
      </c>
      <c r="J4" t="str">
        <v>CUT-WELD-ASSY-TEST</v>
      </c>
      <c r="K4">
        <f>E4-F4</f>
        <v>50</v>
      </c>
    </row>
    <row r="5">
      <c r="A5" t="str">
        <v>SO-21409</v>
      </c>
      <c r="B5" t="str">
        <v>Redwood Automation</v>
      </c>
      <c r="C5" t="str">
        <v>CV-75</v>
      </c>
      <c r="D5" t="str">
        <v>Conveyor Section 75</v>
      </c>
      <c r="E5">
        <v>90</v>
      </c>
      <c r="F5">
        <v>90</v>
      </c>
      <c r="G5" s="1" t="d">
        <v>2026-08-07T03:00:00.000Z</v>
      </c>
      <c r="H5" t="str">
        <v>Closed</v>
      </c>
      <c r="I5" t="str">
        <v>Normal</v>
      </c>
      <c r="J5" t="str">
        <v>CUT-WELD-ASSY-TEST</v>
      </c>
      <c r="K5">
        <f>E5-F5</f>
        <v>0</v>
      </c>
    </row>
    <row r="6">
      <c r="A6" t="str">
        <v>SO-21412</v>
      </c>
      <c r="B6" t="str">
        <v>Wexler Industrial</v>
      </c>
      <c r="C6" t="str">
        <v>FR-1800</v>
      </c>
      <c r="D6" t="str">
        <v>Frame Assembly 1800mm</v>
      </c>
      <c r="E6">
        <v>15</v>
      </c>
      <c r="F6">
        <v>0</v>
      </c>
      <c r="G6" s="1" t="d">
        <v>2026-09-22T03:00:00.000Z</v>
      </c>
      <c r="H6" t="str">
        <v>On Hold</v>
      </c>
      <c r="I6" t="str">
        <v>Normal</v>
      </c>
      <c r="J6" t="str">
        <v>CUT-WELD-PAINT-ASSY</v>
      </c>
      <c r="K6">
        <f>E6-F6</f>
        <v>15</v>
      </c>
    </row>
    <row r="7">
      <c r="A7" t="str">
        <v>SO-21415</v>
      </c>
      <c r="B7" t="str">
        <v>Corvi Meccanica</v>
      </c>
      <c r="C7" t="str">
        <v>HS-140</v>
      </c>
      <c r="D7" t="str">
        <v>Housing Shell 140L</v>
      </c>
      <c r="E7">
        <v>105</v>
      </c>
      <c r="F7">
        <v>105</v>
      </c>
      <c r="G7" s="1" t="d">
        <v>2026-09-23T03:00:00.000Z</v>
      </c>
      <c r="H7" t="str">
        <v>Closed</v>
      </c>
      <c r="I7" t="str">
        <v>Normal</v>
      </c>
      <c r="J7" t="str">
        <v>CUT-WELD-MACH-PAINT-ASSY-TEST</v>
      </c>
      <c r="K7">
        <f>E7-F7</f>
        <v>0</v>
      </c>
    </row>
    <row r="8">
      <c r="A8" t="str">
        <v>SO-21418</v>
      </c>
      <c r="B8" t="str">
        <v>Baumann Fördertechnik</v>
      </c>
      <c r="C8" t="str">
        <v>FR-1200</v>
      </c>
      <c r="D8" t="str">
        <v>Frame Assembly 1200mm</v>
      </c>
      <c r="E8">
        <v>20</v>
      </c>
      <c r="F8">
        <v>0</v>
      </c>
      <c r="G8" s="1" t="d">
        <v>2026-09-13T03:00:00.000Z</v>
      </c>
      <c r="H8" t="str">
        <v>Open</v>
      </c>
      <c r="I8" t="str">
        <v>Normal</v>
      </c>
      <c r="J8" t="str">
        <v>CUT-WELD-PAINT-ASSY</v>
      </c>
      <c r="K8">
        <f>E8-F8</f>
        <v>20</v>
      </c>
    </row>
    <row r="9">
      <c r="A9" t="str">
        <v>SO-21421</v>
      </c>
      <c r="B9" t="str">
        <v>Northgate Systems</v>
      </c>
      <c r="C9" t="str">
        <v>PL-330</v>
      </c>
      <c r="D9" t="str">
        <v>Base Plate 330sq</v>
      </c>
      <c r="E9">
        <v>105</v>
      </c>
      <c r="F9">
        <v>0</v>
      </c>
      <c r="G9" s="1" t="d">
        <v>2026-09-07T03:00:00.000Z</v>
      </c>
      <c r="H9" t="str">
        <v>Open</v>
      </c>
      <c r="I9" t="str">
        <v>Normal</v>
      </c>
      <c r="J9" t="str">
        <v>CUT-MACH</v>
      </c>
      <c r="K9">
        <f>E9-F9</f>
        <v>105</v>
      </c>
    </row>
    <row r="10">
      <c r="A10" t="str">
        <v>SO-21424</v>
      </c>
      <c r="B10" t="str">
        <v>Redwood Automation</v>
      </c>
      <c r="C10" t="str">
        <v>HS-90</v>
      </c>
      <c r="D10" t="str">
        <v>Housing Shell 90L</v>
      </c>
      <c r="E10">
        <v>40</v>
      </c>
      <c r="F10">
        <v>0</v>
      </c>
      <c r="G10" s="1" t="d">
        <v>2026-09-24T03:00:00.000Z</v>
      </c>
      <c r="H10" t="str">
        <v>Open</v>
      </c>
      <c r="I10" t="str">
        <v>Normal</v>
      </c>
      <c r="J10" t="str">
        <v>CUT-WELD-MACH-PAINT-ASSY-TEST</v>
      </c>
      <c r="K10">
        <f>E10-F10</f>
        <v>40</v>
      </c>
    </row>
    <row r="11">
      <c r="A11" t="str">
        <v>SO-21427</v>
      </c>
      <c r="B11" t="str">
        <v>Wexler Industrial</v>
      </c>
      <c r="C11" t="str">
        <v>HS-140</v>
      </c>
      <c r="D11" t="str">
        <v>Housing Shell 140L</v>
      </c>
      <c r="E11">
        <v>50</v>
      </c>
      <c r="F11">
        <v>24</v>
      </c>
      <c r="G11" s="1" t="d">
        <v>2026-08-17T03:00:00.000Z</v>
      </c>
      <c r="H11" t="str">
        <v>Partial</v>
      </c>
      <c r="I11" t="str">
        <v>Normal</v>
      </c>
      <c r="J11" t="str">
        <v>CUT-WELD-MACH-PAINT-ASSY-TEST</v>
      </c>
      <c r="K11">
        <f>E11-F11</f>
        <v>26</v>
      </c>
    </row>
    <row r="12">
      <c r="A12" t="str">
        <v>SO-21430</v>
      </c>
      <c r="B12" t="str">
        <v>Halstead Plant Ltd</v>
      </c>
      <c r="C12" t="str">
        <v>HS-90</v>
      </c>
      <c r="D12" t="str">
        <v>Housing Shell 90L</v>
      </c>
      <c r="E12">
        <v>40</v>
      </c>
      <c r="F12">
        <v>17</v>
      </c>
      <c r="G12" s="1" t="d">
        <v>2026-08-08T03:00:00.000Z</v>
      </c>
      <c r="H12" t="str">
        <v>Partial</v>
      </c>
      <c r="I12" t="str">
        <v>Normal</v>
      </c>
      <c r="J12" t="str">
        <v>CUT-WELD-MACH-PAINT-ASSY-TEST</v>
      </c>
      <c r="K12">
        <f>E12-F12</f>
        <v>23</v>
      </c>
    </row>
    <row r="13">
      <c r="A13" t="str">
        <v>SO-21433</v>
      </c>
      <c r="B13" t="str">
        <v>Corvi Meccanica</v>
      </c>
      <c r="C13" t="str">
        <v>FR-1200</v>
      </c>
      <c r="D13" t="str">
        <v>Frame Assembly 1200mm</v>
      </c>
      <c r="E13">
        <v>75</v>
      </c>
      <c r="F13">
        <v>75</v>
      </c>
      <c r="G13" s="1" t="d">
        <v>2026-09-10T03:00:00.000Z</v>
      </c>
      <c r="H13" t="str">
        <v>Closed</v>
      </c>
      <c r="I13" t="str">
        <v>Normal</v>
      </c>
      <c r="J13" t="str">
        <v>CUT-WELD-PAINT-ASSY</v>
      </c>
      <c r="K13">
        <f>E13-F13</f>
        <v>0</v>
      </c>
    </row>
    <row r="14">
      <c r="A14" t="str">
        <v>SO-21436</v>
      </c>
      <c r="B14" t="str">
        <v>Northgate Systems</v>
      </c>
      <c r="C14" t="str">
        <v>BR-620</v>
      </c>
      <c r="D14" t="str">
        <v>Support Bracket 620</v>
      </c>
      <c r="E14">
        <v>80</v>
      </c>
      <c r="F14">
        <v>0</v>
      </c>
      <c r="G14" s="1" t="d">
        <v>2026-09-14T03:00:00.000Z</v>
      </c>
      <c r="H14" t="str">
        <v>Open</v>
      </c>
      <c r="I14" t="str">
        <v>Normal</v>
      </c>
      <c r="J14" t="str">
        <v>CUT-MACH-PAINT</v>
      </c>
      <c r="K14">
        <f>E14-F14</f>
        <v>80</v>
      </c>
    </row>
    <row r="15">
      <c r="A15" t="str">
        <v>SO-21439</v>
      </c>
      <c r="B15" t="str">
        <v>Halstead Plant Ltd</v>
      </c>
      <c r="C15" t="str">
        <v>HS-90</v>
      </c>
      <c r="D15" t="str">
        <v>Housing Shell 90L</v>
      </c>
      <c r="E15">
        <v>40</v>
      </c>
      <c r="F15">
        <v>0</v>
      </c>
      <c r="G15" s="1" t="d">
        <v>2026-09-20T03:00:00.000Z</v>
      </c>
      <c r="H15" t="str">
        <v>Open</v>
      </c>
      <c r="I15" t="str">
        <v>Normal</v>
      </c>
      <c r="J15" t="str">
        <v>CUT-WELD-MACH-PAINT-ASSY-TEST</v>
      </c>
      <c r="K15">
        <f>E15-F15</f>
        <v>40</v>
      </c>
    </row>
    <row r="16">
      <c r="A16" t="str">
        <v>SO-21442</v>
      </c>
      <c r="B16" t="str">
        <v>Northgate Systems</v>
      </c>
      <c r="C16" t="str">
        <v>BR-450</v>
      </c>
      <c r="D16" t="str">
        <v>Support Bracket 450</v>
      </c>
      <c r="E16">
        <v>35</v>
      </c>
      <c r="F16">
        <v>12</v>
      </c>
      <c r="G16" s="1" t="d">
        <v>2026-09-25T03:00:00.000Z</v>
      </c>
      <c r="H16" t="str">
        <v>Partial</v>
      </c>
      <c r="I16" t="str">
        <v>Normal</v>
      </c>
      <c r="J16" t="str">
        <v>CUT-MACH-PAINT</v>
      </c>
      <c r="K16">
        <f>E16-F16</f>
        <v>23</v>
      </c>
    </row>
    <row r="17">
      <c r="A17" t="str">
        <v>SO-21445</v>
      </c>
      <c r="B17" t="str">
        <v>Northgate Systems</v>
      </c>
      <c r="C17" t="str">
        <v>FR-1200</v>
      </c>
      <c r="D17" t="str">
        <v>Frame Assembly 1200mm</v>
      </c>
      <c r="E17">
        <v>85</v>
      </c>
      <c r="F17">
        <v>0</v>
      </c>
      <c r="G17" s="1" t="d">
        <v>2026-08-31T03:00:00.000Z</v>
      </c>
      <c r="H17" t="str">
        <v>On Hold</v>
      </c>
      <c r="I17" t="str">
        <v>Hot</v>
      </c>
      <c r="J17" t="str">
        <v>CUT-WELD-PAINT-ASSY</v>
      </c>
      <c r="K17">
        <f>E17-F17</f>
        <v>85</v>
      </c>
    </row>
    <row r="18">
      <c r="A18" t="str">
        <v>SO-21448</v>
      </c>
      <c r="B18" t="str">
        <v>Baumann Fördertechnik</v>
      </c>
      <c r="C18" t="str">
        <v>BR-450</v>
      </c>
      <c r="D18" t="str">
        <v>Support Bracket 450</v>
      </c>
      <c r="E18">
        <v>55</v>
      </c>
      <c r="F18">
        <v>0</v>
      </c>
      <c r="G18" s="1" t="d">
        <v>2026-09-20T03:00:00.000Z</v>
      </c>
      <c r="H18" t="str">
        <v>Open</v>
      </c>
      <c r="I18" t="str">
        <v>Normal</v>
      </c>
      <c r="J18" t="str">
        <v>CUT-MACH-PAINT</v>
      </c>
      <c r="K18">
        <f>E18-F18</f>
        <v>55</v>
      </c>
    </row>
    <row r="19">
      <c r="A19" t="str">
        <v>SO-21451</v>
      </c>
      <c r="B19" t="str">
        <v>Redwood Automation</v>
      </c>
      <c r="C19" t="str">
        <v>BR-620</v>
      </c>
      <c r="D19" t="str">
        <v>Support Bracket 620</v>
      </c>
      <c r="E19">
        <v>120</v>
      </c>
      <c r="F19">
        <v>0</v>
      </c>
      <c r="G19" s="1" t="d">
        <v>2026-08-20T03:00:00.000Z</v>
      </c>
      <c r="H19" t="str">
        <v>Open</v>
      </c>
      <c r="I19" t="str">
        <v>Normal</v>
      </c>
      <c r="J19" t="str">
        <v>CUT-MACH-PAINT</v>
      </c>
      <c r="K19">
        <f>E19-F19</f>
        <v>120</v>
      </c>
    </row>
    <row r="20">
      <c r="A20" t="str">
        <v>SO-21454</v>
      </c>
      <c r="B20" t="str">
        <v>Northgate Systems</v>
      </c>
      <c r="C20" t="str">
        <v>CV-75</v>
      </c>
      <c r="D20" t="str">
        <v>Conveyor Section 75</v>
      </c>
      <c r="E20">
        <v>115</v>
      </c>
      <c r="F20">
        <v>115</v>
      </c>
      <c r="G20" s="1" t="d">
        <v>2026-08-19T03:00:00.000Z</v>
      </c>
      <c r="H20" t="str">
        <v>Closed</v>
      </c>
      <c r="I20" t="str">
        <v>Normal</v>
      </c>
      <c r="J20" t="str">
        <v>CUT-WELD-ASSY-TEST</v>
      </c>
      <c r="K20">
        <f>E20-F20</f>
        <v>0</v>
      </c>
    </row>
    <row r="21">
      <c r="A21" t="str">
        <v>SO-21457</v>
      </c>
      <c r="B21" t="str">
        <v>Halstead Plant Ltd</v>
      </c>
      <c r="C21" t="str">
        <v>BR-620</v>
      </c>
      <c r="D21" t="str">
        <v>Support Bracket 620</v>
      </c>
      <c r="E21">
        <v>65</v>
      </c>
      <c r="F21">
        <v>65</v>
      </c>
      <c r="G21" s="1" t="d">
        <v>2026-10-01T03:00:00.000Z</v>
      </c>
      <c r="H21" t="str">
        <v>Closed</v>
      </c>
      <c r="I21" t="str">
        <v>Normal</v>
      </c>
      <c r="J21" t="str">
        <v>CUT-MACH-PAINT</v>
      </c>
      <c r="K21">
        <f>E21-F21</f>
        <v>0</v>
      </c>
    </row>
    <row r="22">
      <c r="A22" t="str">
        <v>SO-21460</v>
      </c>
      <c r="B22" t="str">
        <v>Baumann Fördertechnik</v>
      </c>
      <c r="C22" t="str">
        <v>CV-75</v>
      </c>
      <c r="D22" t="str">
        <v>Conveyor Section 75</v>
      </c>
      <c r="E22">
        <v>70</v>
      </c>
      <c r="F22">
        <v>0</v>
      </c>
      <c r="G22" s="1" t="d">
        <v>2026-09-27T03:00:00.000Z</v>
      </c>
      <c r="H22" t="str">
        <v>Open</v>
      </c>
      <c r="I22" t="str">
        <v>Normal</v>
      </c>
      <c r="J22" t="str">
        <v>CUT-WELD-ASSY-TEST</v>
      </c>
      <c r="K22">
        <f>E22-F22</f>
        <v>70</v>
      </c>
    </row>
    <row r="23">
      <c r="A23" t="str">
        <v>SO-21463</v>
      </c>
      <c r="B23" t="str">
        <v>Northgate Systems</v>
      </c>
      <c r="C23" t="str">
        <v>HS-140</v>
      </c>
      <c r="D23" t="str">
        <v>Housing Shell 140L</v>
      </c>
      <c r="E23">
        <v>105</v>
      </c>
      <c r="F23">
        <v>0</v>
      </c>
      <c r="G23" s="1" t="d">
        <v>2026-08-14T03:00:00.000Z</v>
      </c>
      <c r="H23" t="str">
        <v>On Hold</v>
      </c>
      <c r="I23" t="str">
        <v>Normal</v>
      </c>
      <c r="J23" t="str">
        <v>CUT-WELD-MACH-PAINT-ASSY-TEST</v>
      </c>
      <c r="K23">
        <f>E23-F23</f>
        <v>105</v>
      </c>
    </row>
    <row r="24">
      <c r="A24" t="str">
        <v>SO-21466</v>
      </c>
      <c r="B24" t="str">
        <v>Northgate Systems</v>
      </c>
      <c r="C24" t="str">
        <v>FR-1200</v>
      </c>
      <c r="D24" t="str">
        <v>Frame Assembly 1200mm</v>
      </c>
      <c r="E24">
        <v>80</v>
      </c>
      <c r="F24">
        <v>0</v>
      </c>
      <c r="G24" s="1" t="d">
        <v>2026-09-23T03:00:00.000Z</v>
      </c>
      <c r="H24" t="str">
        <v>Open</v>
      </c>
      <c r="I24" t="str">
        <v>Normal</v>
      </c>
      <c r="J24" t="str">
        <v>CUT-WELD-PAINT-ASSY</v>
      </c>
      <c r="K24">
        <f>E24-F24</f>
        <v>80</v>
      </c>
    </row>
    <row r="25">
      <c r="A25" t="str">
        <v>SO-21469</v>
      </c>
      <c r="B25" t="str">
        <v>Corvi Meccanica</v>
      </c>
      <c r="C25" t="str">
        <v>BR-450</v>
      </c>
      <c r="D25" t="str">
        <v>Support Bracket 450</v>
      </c>
      <c r="E25">
        <v>75</v>
      </c>
      <c r="F25">
        <v>0</v>
      </c>
      <c r="G25" s="1" t="d">
        <v>2026-09-12T03:00:00.000Z</v>
      </c>
      <c r="H25" t="str">
        <v>Open</v>
      </c>
      <c r="I25" t="str">
        <v>Hot</v>
      </c>
      <c r="J25" t="str">
        <v>CUT-MACH-PAINT</v>
      </c>
      <c r="K25">
        <f>E25-F25</f>
        <v>75</v>
      </c>
    </row>
    <row r="26">
      <c r="A26" t="str">
        <v>SO-21472</v>
      </c>
      <c r="B26" t="str">
        <v>Northgate Systems</v>
      </c>
      <c r="C26" t="str">
        <v>FR-1800</v>
      </c>
      <c r="D26" t="str">
        <v>Frame Assembly 1800mm</v>
      </c>
      <c r="E26">
        <v>20</v>
      </c>
      <c r="F26">
        <v>12</v>
      </c>
      <c r="G26" s="1" t="d">
        <v>2026-08-24T03:00:00.000Z</v>
      </c>
      <c r="H26" t="str">
        <v>Partial</v>
      </c>
      <c r="I26" t="str">
        <v>Normal</v>
      </c>
      <c r="J26" t="str">
        <v>CUT-WELD-PAINT-ASSY</v>
      </c>
      <c r="K26">
        <f>E26-F26</f>
        <v>8</v>
      </c>
    </row>
    <row r="27">
      <c r="A27" t="str">
        <v>SO-21475</v>
      </c>
      <c r="B27" t="str">
        <v>Redwood Automation</v>
      </c>
      <c r="C27" t="str">
        <v>FR-1200</v>
      </c>
      <c r="D27" t="str">
        <v>Frame Assembly 1200mm</v>
      </c>
      <c r="E27">
        <v>45</v>
      </c>
      <c r="F27">
        <v>45</v>
      </c>
      <c r="G27" s="1" t="d">
        <v>2026-08-20T03:00:00.000Z</v>
      </c>
      <c r="H27" t="str">
        <v>Closed</v>
      </c>
      <c r="I27" t="str">
        <v>Normal</v>
      </c>
      <c r="J27" t="str">
        <v>CUT-WELD-PAINT-ASSY</v>
      </c>
      <c r="K27">
        <f>E27-F27</f>
        <v>0</v>
      </c>
    </row>
    <row r="28">
      <c r="A28" t="str">
        <v>SO-21478</v>
      </c>
      <c r="B28" t="str">
        <v>Wexler Industrial</v>
      </c>
      <c r="C28" t="str">
        <v>HS-90</v>
      </c>
      <c r="D28" t="str">
        <v>Housing Shell 90L</v>
      </c>
      <c r="E28">
        <v>55</v>
      </c>
      <c r="F28">
        <v>0</v>
      </c>
      <c r="G28" s="1" t="d">
        <v>2026-10-03T03:00:00.000Z</v>
      </c>
      <c r="H28" t="str">
        <v>On Hold</v>
      </c>
      <c r="I28" t="str">
        <v>Normal</v>
      </c>
      <c r="J28" t="str">
        <v>CUT-WELD-MACH-PAINT-ASSY-TEST</v>
      </c>
      <c r="K28">
        <f>E28-F28</f>
        <v>55</v>
      </c>
    </row>
    <row r="29">
      <c r="A29" t="str">
        <v>SO-21481</v>
      </c>
      <c r="B29" t="str">
        <v>Redwood Automation</v>
      </c>
      <c r="C29" t="str">
        <v>HS-140</v>
      </c>
      <c r="D29" t="str">
        <v>Housing Shell 140L</v>
      </c>
      <c r="E29">
        <v>75</v>
      </c>
      <c r="F29">
        <v>0</v>
      </c>
      <c r="G29" s="1" t="d">
        <v>2026-09-20T03:00:00.000Z</v>
      </c>
      <c r="H29" t="str">
        <v>Open</v>
      </c>
      <c r="I29" t="str">
        <v>Normal</v>
      </c>
      <c r="J29" t="str">
        <v>CUT-WELD-MACH-PAINT-ASSY-TEST</v>
      </c>
      <c r="K29">
        <f>E29-F29</f>
        <v>75</v>
      </c>
    </row>
    <row r="30">
      <c r="A30" t="str">
        <v>SO-21484</v>
      </c>
      <c r="B30" t="str">
        <v>Wexler Industrial</v>
      </c>
      <c r="C30" t="str">
        <v>CV-75</v>
      </c>
      <c r="D30" t="str">
        <v>Conveyor Section 75</v>
      </c>
      <c r="E30">
        <v>55</v>
      </c>
      <c r="F30">
        <v>34</v>
      </c>
      <c r="G30" s="1" t="d">
        <v>2026-09-19T03:00:00.000Z</v>
      </c>
      <c r="H30" t="str">
        <v>Partial</v>
      </c>
      <c r="I30" t="str">
        <v>Hot</v>
      </c>
      <c r="J30" t="str">
        <v>CUT-WELD-ASSY-TEST</v>
      </c>
      <c r="K30">
        <f>E30-F30</f>
        <v>21</v>
      </c>
    </row>
    <row r="31">
      <c r="A31" t="str">
        <v>SO-21487</v>
      </c>
      <c r="B31" t="str">
        <v>Halstead Plant Ltd</v>
      </c>
      <c r="C31" t="str">
        <v>BR-450</v>
      </c>
      <c r="D31" t="str">
        <v>Support Bracket 450</v>
      </c>
      <c r="E31">
        <v>30</v>
      </c>
      <c r="F31">
        <v>0</v>
      </c>
      <c r="G31" s="1" t="d">
        <v>2026-08-07T03:00:00.000Z</v>
      </c>
      <c r="H31" t="str">
        <v>Open</v>
      </c>
      <c r="I31" t="str">
        <v>Normal</v>
      </c>
      <c r="J31" t="str">
        <v>CUT-MACH-PAINT</v>
      </c>
      <c r="K31">
        <f>E31-F31</f>
        <v>30</v>
      </c>
    </row>
    <row r="32">
      <c r="A32" t="str">
        <v>SO-21490</v>
      </c>
      <c r="B32" t="str">
        <v>Baumann Fördertechnik</v>
      </c>
      <c r="C32" t="str">
        <v>HS-90</v>
      </c>
      <c r="D32" t="str">
        <v>Housing Shell 90L</v>
      </c>
      <c r="E32">
        <v>50</v>
      </c>
      <c r="F32">
        <v>0</v>
      </c>
      <c r="G32" s="1" t="d">
        <v>2026-09-23T03:00:00.000Z</v>
      </c>
      <c r="H32" t="str">
        <v>Open</v>
      </c>
      <c r="I32" t="str">
        <v>Normal</v>
      </c>
      <c r="J32" t="str">
        <v>CUT-WELD-MACH-PAINT-ASSY-TEST</v>
      </c>
      <c r="K32">
        <f>E32-F32</f>
        <v>50</v>
      </c>
    </row>
    <row r="33">
      <c r="A33" t="str">
        <v>SO-21493</v>
      </c>
      <c r="B33" t="str">
        <v>Northgate Systems</v>
      </c>
      <c r="C33" t="str">
        <v>FR-1800</v>
      </c>
      <c r="D33" t="str">
        <v>Frame Assembly 1800mm</v>
      </c>
      <c r="E33">
        <v>75</v>
      </c>
      <c r="F33">
        <v>0</v>
      </c>
      <c r="G33" s="1" t="d">
        <v>2026-09-08T03:00:00.000Z</v>
      </c>
      <c r="H33" t="str">
        <v>Open</v>
      </c>
      <c r="I33" t="str">
        <v>Normal</v>
      </c>
      <c r="J33" t="str">
        <v>CUT-WELD-PAINT-ASSY</v>
      </c>
      <c r="K33">
        <f>E33-F33</f>
        <v>75</v>
      </c>
    </row>
    <row r="34">
      <c r="A34" t="str">
        <v>SO-21496</v>
      </c>
      <c r="B34" t="str">
        <v>Wexler Industrial</v>
      </c>
      <c r="C34" t="str">
        <v>FR-1200</v>
      </c>
      <c r="D34" t="str">
        <v>Frame Assembly 1200mm</v>
      </c>
      <c r="E34">
        <v>20</v>
      </c>
      <c r="F34">
        <v>20</v>
      </c>
      <c r="G34" s="1" t="d">
        <v>2026-10-04T03:00:00.000Z</v>
      </c>
      <c r="H34" t="str">
        <v>Closed</v>
      </c>
      <c r="I34" t="str">
        <v>Normal</v>
      </c>
      <c r="J34" t="str">
        <v>CUT-WELD-PAINT-ASSY</v>
      </c>
      <c r="K34">
        <f>E34-F34</f>
        <v>0</v>
      </c>
    </row>
    <row r="35">
      <c r="A35" t="str">
        <v>SO-21499</v>
      </c>
      <c r="B35" t="str">
        <v>Wexler Industrial</v>
      </c>
      <c r="C35" t="str">
        <v>FR-1200</v>
      </c>
      <c r="D35" t="str">
        <v>Frame Assembly 1200mm</v>
      </c>
      <c r="E35">
        <v>55</v>
      </c>
      <c r="F35">
        <v>30</v>
      </c>
      <c r="G35" s="1" t="d">
        <v>2026-08-04T03:00:00.000Z</v>
      </c>
      <c r="H35" t="str">
        <v>Partial</v>
      </c>
      <c r="I35" t="str">
        <v>Normal</v>
      </c>
      <c r="J35" t="str">
        <v>CUT-WELD-PAINT-ASSY</v>
      </c>
      <c r="K35">
        <f>E35-F35</f>
        <v>25</v>
      </c>
    </row>
    <row r="36">
      <c r="A36" t="str">
        <v>SO-21502</v>
      </c>
      <c r="B36" t="str">
        <v>Wexler Industrial</v>
      </c>
      <c r="C36" t="str">
        <v>FR-1200</v>
      </c>
      <c r="D36" t="str">
        <v>Frame Assembly 1200mm</v>
      </c>
      <c r="E36">
        <v>10</v>
      </c>
      <c r="F36">
        <v>7</v>
      </c>
      <c r="G36" s="1" t="d">
        <v>2026-08-22T03:00:00.000Z</v>
      </c>
      <c r="H36" t="str">
        <v>Partial</v>
      </c>
      <c r="I36" t="str">
        <v>Normal</v>
      </c>
      <c r="J36" t="str">
        <v>CUT-WELD-PAINT-ASSY</v>
      </c>
      <c r="K36">
        <f>E36-F36</f>
        <v>3</v>
      </c>
    </row>
    <row r="37">
      <c r="A37" t="str">
        <v>SO-21505</v>
      </c>
      <c r="B37" t="str">
        <v>Redwood Automation</v>
      </c>
      <c r="C37" t="str">
        <v>BR-450</v>
      </c>
      <c r="D37" t="str">
        <v>Support Bracket 450</v>
      </c>
      <c r="E37">
        <v>65</v>
      </c>
      <c r="F37">
        <v>45</v>
      </c>
      <c r="G37" s="1" t="d">
        <v>2026-09-16T03:00:00.000Z</v>
      </c>
      <c r="H37" t="str">
        <v>Partial</v>
      </c>
      <c r="I37" t="str">
        <v>Normal</v>
      </c>
      <c r="J37" t="str">
        <v>CUT-MACH-PAINT</v>
      </c>
      <c r="K37">
        <f>E37-F37</f>
        <v>20</v>
      </c>
    </row>
    <row r="38">
      <c r="A38" t="str">
        <v>SO-21508</v>
      </c>
      <c r="B38" t="str">
        <v>Wexler Industrial</v>
      </c>
      <c r="C38" t="str">
        <v>BR-450</v>
      </c>
      <c r="D38" t="str">
        <v>Support Bracket 450</v>
      </c>
      <c r="E38">
        <v>90</v>
      </c>
      <c r="F38">
        <v>90</v>
      </c>
      <c r="G38" s="1" t="d">
        <v>2026-09-03T03:00:00.000Z</v>
      </c>
      <c r="H38" t="str">
        <v>Closed</v>
      </c>
      <c r="I38" t="str">
        <v>Normal</v>
      </c>
      <c r="J38" t="str">
        <v>CUT-MACH-PAINT</v>
      </c>
      <c r="K38">
        <f>E38-F38</f>
        <v>0</v>
      </c>
    </row>
    <row r="39">
      <c r="A39" t="str">
        <v>SO-21511</v>
      </c>
      <c r="B39" t="str">
        <v>Northgate Systems</v>
      </c>
      <c r="C39" t="str">
        <v>HS-140</v>
      </c>
      <c r="D39" t="str">
        <v>Housing Shell 140L</v>
      </c>
      <c r="E39">
        <v>20</v>
      </c>
      <c r="F39">
        <v>0</v>
      </c>
      <c r="G39" s="1" t="d">
        <v>2026-08-23T03:00:00.000Z</v>
      </c>
      <c r="H39" t="str">
        <v>Open</v>
      </c>
      <c r="I39" t="str">
        <v>Normal</v>
      </c>
      <c r="J39" t="str">
        <v>CUT-WELD-MACH-PAINT-ASSY-TEST</v>
      </c>
      <c r="K39">
        <f>E39-F39</f>
        <v>20</v>
      </c>
    </row>
    <row r="40">
      <c r="A40" t="str">
        <v>SO-21514</v>
      </c>
      <c r="B40" t="str">
        <v>Redwood Automation</v>
      </c>
      <c r="C40" t="str">
        <v>HS-140</v>
      </c>
      <c r="D40" t="str">
        <v>Housing Shell 140L</v>
      </c>
      <c r="E40">
        <v>105</v>
      </c>
      <c r="F40">
        <v>49</v>
      </c>
      <c r="G40" s="1" t="d">
        <v>2026-09-26T03:00:00.000Z</v>
      </c>
      <c r="H40" t="str">
        <v>Partial</v>
      </c>
      <c r="I40" t="str">
        <v>Normal</v>
      </c>
      <c r="J40" t="str">
        <v>CUT-WELD-MACH-PAINT-ASSY-TEST</v>
      </c>
      <c r="K40">
        <f>E40-F40</f>
        <v>56</v>
      </c>
    </row>
    <row r="41">
      <c r="A41" t="str">
        <v>SO-21517</v>
      </c>
      <c r="B41" t="str">
        <v>Redwood Automation</v>
      </c>
      <c r="C41" t="str">
        <v>HS-140</v>
      </c>
      <c r="D41" t="str">
        <v>Housing Shell 140L</v>
      </c>
      <c r="E41">
        <v>65</v>
      </c>
      <c r="F41">
        <v>38</v>
      </c>
      <c r="G41" s="1" t="d">
        <v>2026-10-04T03:00:00.000Z</v>
      </c>
      <c r="H41" t="str">
        <v>Partial</v>
      </c>
      <c r="I41" t="str">
        <v>Normal</v>
      </c>
      <c r="J41" t="str">
        <v>CUT-WELD-MACH-PAINT-ASSY-TEST</v>
      </c>
      <c r="K41">
        <f>E41-F41</f>
        <v>27</v>
      </c>
    </row>
    <row r="42">
      <c r="A42" t="str">
        <v>SO-21520</v>
      </c>
      <c r="B42" t="str">
        <v>Corvi Meccanica</v>
      </c>
      <c r="C42" t="str">
        <v>CV-75</v>
      </c>
      <c r="D42" t="str">
        <v>Conveyor Section 75</v>
      </c>
      <c r="E42">
        <v>110</v>
      </c>
      <c r="F42">
        <v>0</v>
      </c>
      <c r="G42" s="1" t="d">
        <v>2026-09-03T03:00:00.000Z</v>
      </c>
      <c r="H42" t="str">
        <v>Open</v>
      </c>
      <c r="I42" t="str">
        <v>Hot</v>
      </c>
      <c r="J42" t="str">
        <v>CUT-WELD-ASSY-TEST</v>
      </c>
      <c r="K42">
        <f>E42-F42</f>
        <v>110</v>
      </c>
    </row>
    <row r="43">
      <c r="A43" t="str">
        <v>SO-21523</v>
      </c>
      <c r="B43" t="str">
        <v>Halstead Plant Ltd</v>
      </c>
      <c r="C43" t="str">
        <v>CV-75</v>
      </c>
      <c r="D43" t="str">
        <v>Conveyor Section 75</v>
      </c>
      <c r="E43">
        <v>70</v>
      </c>
      <c r="F43">
        <v>0</v>
      </c>
      <c r="G43" s="1" t="d">
        <v>2026-08-05T03:00:00.000Z</v>
      </c>
      <c r="H43" t="str">
        <v>On Hold</v>
      </c>
      <c r="I43" t="str">
        <v>Normal</v>
      </c>
      <c r="J43" t="str">
        <v>CUT-WELD-ASSY-TEST</v>
      </c>
      <c r="K43">
        <f>E43-F43</f>
        <v>70</v>
      </c>
    </row>
  </sheetData>
  <ignoredErrors>
    <ignoredError numberStoredAsText="1" sqref="A1:K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