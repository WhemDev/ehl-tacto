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n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1"/>
  <sheetViews>
    <sheetView workbookViewId="0"/>
  </sheetViews>
  <cols>
    <col min="1" max="1" width="34.83203125" customWidth="1"/>
    <col min="2" max="2" width="46.83203125" customWidth="1"/>
  </cols>
  <sheetData>
    <row r="1">
      <c r="A1" t="str">
        <v>Function</v>
      </c>
      <c r="B1" t="str">
        <v>Formula</v>
      </c>
    </row>
    <row r="2">
      <c r="A2" t="str">
        <v>SUM</v>
      </c>
      <c r="B2">
        <f>SUM(1,2,3)</f>
        <v>0</v>
      </c>
      <c r="D2">
        <v>10</v>
      </c>
    </row>
    <row r="3">
      <c r="A3" t="str">
        <v>AVERAGE</v>
      </c>
      <c r="B3">
        <f>AVERAGE(2,4,6)</f>
        <v>0</v>
      </c>
      <c r="D3">
        <v>42</v>
      </c>
    </row>
    <row r="4">
      <c r="A4" t="str">
        <v>MIN</v>
      </c>
      <c r="B4">
        <f>MIN(5,2,9)</f>
        <v>0</v>
      </c>
      <c r="D4">
        <v>7</v>
      </c>
    </row>
    <row r="5">
      <c r="A5" t="str">
        <v>MAX</v>
      </c>
      <c r="B5">
        <f>MAX(5,2,9)</f>
        <v>0</v>
      </c>
      <c r="D5">
        <v>25</v>
      </c>
    </row>
    <row r="6">
      <c r="A6" t="str">
        <v>COUNT</v>
      </c>
      <c r="B6">
        <f>COUNT(1,2,"x")</f>
        <v>0</v>
      </c>
      <c r="D6">
        <v>16</v>
      </c>
    </row>
    <row r="7">
      <c r="A7" t="str">
        <v>COUNTA</v>
      </c>
      <c r="B7">
        <f>COUNTA(1,"a","",5)</f>
        <v>0</v>
      </c>
    </row>
    <row r="8">
      <c r="A8" t="str">
        <v>COUNTBLANK</v>
      </c>
      <c r="B8">
        <f>COUNTBLANK(Z1,D2)</f>
        <v>0</v>
      </c>
      <c r="D8">
        <v>1</v>
      </c>
      <c r="E8">
        <v>2</v>
      </c>
      <c r="F8">
        <v>3</v>
      </c>
      <c r="G8">
        <v>4</v>
      </c>
      <c r="H8">
        <v>5</v>
      </c>
    </row>
    <row r="9">
      <c r="A9" t="str">
        <v>ABS</v>
      </c>
      <c r="B9">
        <f>ABS(-5)</f>
        <v>0</v>
      </c>
    </row>
    <row r="10">
      <c r="A10" t="str">
        <v>ROUND (binary-imprecise 0.15,1)</v>
      </c>
      <c r="B10">
        <f>ROUND(0.15,1)</f>
        <v>0</v>
      </c>
      <c r="D10">
        <v>1</v>
      </c>
      <c r="E10">
        <v>4</v>
      </c>
    </row>
    <row r="11">
      <c r="A11" t="str">
        <v>ROUND (binary-imprecise 2.675,2)</v>
      </c>
      <c r="B11">
        <f>ROUND(2.675,2)</f>
        <v>0</v>
      </c>
      <c r="D11">
        <v>2</v>
      </c>
      <c r="E11">
        <v>5</v>
      </c>
    </row>
    <row r="12">
      <c r="A12" t="str">
        <v>ROUND (binary-imprecise 0.35,1)</v>
      </c>
      <c r="B12">
        <f>ROUND(0.35,1)</f>
        <v>0</v>
      </c>
      <c r="D12">
        <v>3</v>
      </c>
      <c r="E12">
        <v>6</v>
      </c>
    </row>
    <row r="13">
      <c r="A13" t="str">
        <v>ROUND (binary-imprecise 1.15,1)</v>
      </c>
      <c r="B13">
        <f>ROUND(1.15,1)</f>
        <v>0</v>
      </c>
    </row>
    <row r="14">
      <c r="A14" t="str">
        <v>ROUND (basic)</v>
      </c>
      <c r="B14">
        <f>ROUND(3.14159,2)</f>
        <v>0</v>
      </c>
    </row>
    <row r="15">
      <c r="A15" t="str">
        <v>ROUNDUP</v>
      </c>
      <c r="B15">
        <f>ROUNDUP(3.14159,2)</f>
        <v>0</v>
      </c>
      <c r="D15" t="str">
        <v>ID</v>
      </c>
      <c r="E15" t="str">
        <v>Name</v>
      </c>
      <c r="F15" t="str">
        <v>Dept</v>
      </c>
      <c r="G15" t="str">
        <v>Salary</v>
      </c>
    </row>
    <row r="16">
      <c r="A16" t="str">
        <v>ROUNDDOWN</v>
      </c>
      <c r="B16">
        <f>ROUNDDOWN(3.99,0)</f>
        <v>0</v>
      </c>
      <c r="D16">
        <v>101</v>
      </c>
      <c r="E16" t="str">
        <v>Alice</v>
      </c>
      <c r="F16" t="str">
        <v>Sales</v>
      </c>
      <c r="G16">
        <v>50000</v>
      </c>
    </row>
    <row r="17">
      <c r="A17" t="str">
        <v>CEILING</v>
      </c>
      <c r="B17">
        <f>CEILING(2.1,1)</f>
        <v>0</v>
      </c>
      <c r="D17">
        <v>102</v>
      </c>
      <c r="E17" t="str">
        <v>Bob</v>
      </c>
      <c r="F17" t="str">
        <v>Eng</v>
      </c>
      <c r="G17">
        <v>60000</v>
      </c>
    </row>
    <row r="18">
      <c r="A18" t="str">
        <v>FLOOR</v>
      </c>
      <c r="B18">
        <f>FLOOR(2.9,1)</f>
        <v>0</v>
      </c>
      <c r="D18">
        <v>103</v>
      </c>
      <c r="E18" t="str">
        <v>Carol</v>
      </c>
      <c r="F18" t="str">
        <v>Eng</v>
      </c>
      <c r="G18">
        <v>55000</v>
      </c>
    </row>
    <row r="19">
      <c r="A19" t="str">
        <v>INT</v>
      </c>
      <c r="B19">
        <f>INT(3.7)</f>
        <v>0</v>
      </c>
      <c r="D19">
        <v>104</v>
      </c>
      <c r="E19" t="str">
        <v>Dan</v>
      </c>
      <c r="F19" t="str">
        <v>Sales</v>
      </c>
      <c r="G19">
        <v>45000</v>
      </c>
    </row>
    <row r="20">
      <c r="A20" t="str">
        <v>MOD</v>
      </c>
      <c r="B20">
        <f>MOD(7,3)</f>
        <v>0</v>
      </c>
    </row>
    <row r="21">
      <c r="A21" t="str">
        <v>POWER</v>
      </c>
      <c r="B21">
        <f>POWER(2,3)</f>
        <v>0</v>
      </c>
    </row>
    <row r="22">
      <c r="A22" t="str">
        <v>SQRT</v>
      </c>
      <c r="B22">
        <f>SQRT(16)</f>
        <v>0</v>
      </c>
      <c r="D22" t="str">
        <v>Q1</v>
      </c>
      <c r="E22" t="str">
        <v>Q2</v>
      </c>
      <c r="F22" t="str">
        <v>Q3</v>
      </c>
      <c r="G22" t="str">
        <v>Q4</v>
      </c>
      <c r="H22" t="str">
        <v>Q5</v>
      </c>
    </row>
    <row r="23">
      <c r="A23" t="str">
        <v>LOG</v>
      </c>
      <c r="B23">
        <f>LOG(100,10)</f>
        <v>0</v>
      </c>
      <c r="D23">
        <v>100</v>
      </c>
      <c r="E23">
        <v>200</v>
      </c>
      <c r="F23">
        <v>300</v>
      </c>
      <c r="G23">
        <v>400</v>
      </c>
      <c r="H23">
        <v>500</v>
      </c>
    </row>
    <row r="24">
      <c r="A24" t="str">
        <v>LN</v>
      </c>
      <c r="B24">
        <f>LN(1)</f>
        <v>0</v>
      </c>
    </row>
    <row r="25">
      <c r="A25" t="str">
        <v>EXP</v>
      </c>
      <c r="B25">
        <f>EXP(1)</f>
        <v>0</v>
      </c>
    </row>
    <row r="26">
      <c r="A26" t="str">
        <v>SIGN</v>
      </c>
      <c r="B26">
        <f>SIGN(-5)</f>
        <v>0</v>
      </c>
      <c r="D26">
        <v>1</v>
      </c>
    </row>
    <row r="27">
      <c r="A27" t="str">
        <v>PRODUCT</v>
      </c>
      <c r="B27">
        <f>PRODUCT(2,3,4)</f>
        <v>0</v>
      </c>
      <c r="E27">
        <v>777</v>
      </c>
    </row>
    <row r="28">
      <c r="A28" t="str">
        <v>SUMPRODUCT</v>
      </c>
      <c r="B28">
        <f>SUMPRODUCT(D10:D12,E10:E12)</f>
        <v>0</v>
      </c>
    </row>
    <row r="29">
      <c r="A29" t="str">
        <v>PI</v>
      </c>
      <c r="B29">
        <f>PI()</f>
        <v>0</v>
      </c>
    </row>
    <row r="30">
      <c r="A30" t="str">
        <v>MEDIAN</v>
      </c>
      <c r="B30">
        <f>MEDIAN(1,2,3,4,5)</f>
        <v>0</v>
      </c>
      <c r="D30" t="str">
        <v>A</v>
      </c>
      <c r="E30">
        <v>10</v>
      </c>
    </row>
    <row r="31">
      <c r="A31" t="str">
        <v>LARGE</v>
      </c>
      <c r="B31">
        <f>LARGE(D2:D6,2)</f>
        <v>0</v>
      </c>
      <c r="D31" t="str">
        <v>A</v>
      </c>
      <c r="E31" t="b">
        <v>1</v>
      </c>
    </row>
    <row r="32">
      <c r="A32" t="str">
        <v>SMALL</v>
      </c>
      <c r="B32">
        <f>SMALL(D2:D6,2)</f>
        <v>0</v>
      </c>
      <c r="D32" t="str">
        <v>A</v>
      </c>
      <c r="E32">
        <v>-5</v>
      </c>
    </row>
    <row r="33">
      <c r="A33" t="str">
        <v>IF</v>
      </c>
      <c r="B33" t="str">
        <f>IF(5&gt;3,"yes","no")</f>
        <v/>
      </c>
      <c r="D33" t="str">
        <v>B</v>
      </c>
      <c r="E33">
        <v>99</v>
      </c>
    </row>
    <row r="34">
      <c r="A34" t="str">
        <v>AND</v>
      </c>
      <c r="B34" t="b">
        <f>AND(TRUE,1=1,2&lt;3)</f>
        <v>0</v>
      </c>
    </row>
    <row r="35">
      <c r="A35" t="str">
        <v>OR</v>
      </c>
      <c r="B35" t="b">
        <f>OR(FALSE,1=2,3=3)</f>
        <v>0</v>
      </c>
    </row>
    <row r="36">
      <c r="A36" t="str">
        <v>NOT</v>
      </c>
      <c r="B36" t="b">
        <f>NOT(FALSE)</f>
        <v>0</v>
      </c>
      <c r="D36" t="str">
        <v>A</v>
      </c>
      <c r="E36">
        <v>-10</v>
      </c>
    </row>
    <row r="37">
      <c r="A37" t="str">
        <v>IFERROR</v>
      </c>
      <c r="B37" t="str">
        <f>IFERROR(1/0,"err")</f>
        <v/>
      </c>
      <c r="D37" t="str">
        <v>A</v>
      </c>
      <c r="E37" t="b">
        <v>1</v>
      </c>
    </row>
    <row r="38">
      <c r="A38" t="str">
        <v>IFNA</v>
      </c>
      <c r="B38" t="str">
        <f>IFNA(NA(),"missing")</f>
        <v/>
      </c>
      <c r="D38" t="str">
        <v>A</v>
      </c>
      <c r="E38">
        <v>-5</v>
      </c>
    </row>
    <row r="39">
      <c r="A39" t="str">
        <v>ISBLANK</v>
      </c>
      <c r="B39" t="b">
        <f>ISBLANK(Z1)</f>
        <v>0</v>
      </c>
      <c r="D39" t="str">
        <v>B</v>
      </c>
      <c r="E39">
        <v>50</v>
      </c>
    </row>
    <row r="40">
      <c r="A40" t="str">
        <v>ISERROR</v>
      </c>
      <c r="B40" t="b">
        <f>ISERROR(1/0)</f>
        <v>0</v>
      </c>
    </row>
    <row r="41">
      <c r="A41" t="str">
        <v>ISNA</v>
      </c>
      <c r="B41" t="b">
        <f>ISNA(NA())</f>
        <v>0</v>
      </c>
    </row>
    <row r="42">
      <c r="A42" t="str">
        <v>ISNUMBER</v>
      </c>
      <c r="B42" t="b">
        <f>ISNUMBER(5)</f>
        <v>0</v>
      </c>
      <c r="D42" t="str">
        <v>A</v>
      </c>
      <c r="E42">
        <v>10</v>
      </c>
    </row>
    <row r="43">
      <c r="A43" t="str">
        <v>ISTEXT</v>
      </c>
      <c r="B43" t="b">
        <f>ISTEXT("hi")</f>
        <v>0</v>
      </c>
      <c r="D43" t="str">
        <v>A</v>
      </c>
      <c r="E43" t="b">
        <v>1</v>
      </c>
    </row>
    <row r="44">
      <c r="A44" t="str">
        <v>IFS</v>
      </c>
      <c r="B44" t="str">
        <f>IFS(1=2,"a",1=1,"b")</f>
        <v/>
      </c>
      <c r="D44" t="str">
        <v>A</v>
      </c>
      <c r="E44">
        <v>5</v>
      </c>
    </row>
    <row r="45">
      <c r="A45" t="str">
        <v>SWITCH</v>
      </c>
      <c r="B45" t="str">
        <f>SWITCH(2,1,"one",2,"two",3,"three")</f>
        <v/>
      </c>
      <c r="D45" t="str">
        <v>B</v>
      </c>
      <c r="E45">
        <v>-50</v>
      </c>
    </row>
    <row r="46">
      <c r="A46" t="str">
        <v>NA</v>
      </c>
      <c r="B46" t="str">
        <f>NA()</f>
        <v/>
      </c>
    </row>
    <row r="47">
      <c r="A47" t="str">
        <v>ISLOGICAL</v>
      </c>
      <c r="B47" t="b">
        <f>ISLOGICAL(TRUE)</f>
        <v>0</v>
      </c>
    </row>
    <row r="48">
      <c r="A48" t="str">
        <v>TYPE</v>
      </c>
      <c r="B48">
        <f>TYPE(5)</f>
        <v>0</v>
      </c>
    </row>
    <row r="49">
      <c r="A49" t="str">
        <v>SUMIF</v>
      </c>
      <c r="B49">
        <f>SUMIF(D30:D33,"A",E30:E33)</f>
        <v>0</v>
      </c>
    </row>
    <row r="50">
      <c r="A50" t="str">
        <v>SUMIFS</v>
      </c>
      <c r="B50">
        <f>SUMIFS(E30:E33,D30:D33,"A")</f>
        <v>0</v>
      </c>
    </row>
    <row r="51">
      <c r="A51" t="str">
        <v>COUNTIF</v>
      </c>
      <c r="B51">
        <f>COUNTIF(D30:D33,"A")</f>
        <v>0</v>
      </c>
    </row>
    <row r="52">
      <c r="A52" t="str">
        <v>COUNTIFS</v>
      </c>
      <c r="B52">
        <f>COUNTIFS(D30:D33,"A")</f>
        <v>0</v>
      </c>
    </row>
    <row r="53">
      <c r="A53" t="str">
        <v>AVERAGEIF</v>
      </c>
      <c r="B53">
        <f>AVERAGEIF(D30:D33,"A",E30:E33)</f>
        <v>0</v>
      </c>
    </row>
    <row r="54">
      <c r="A54" t="str">
        <v>AVERAGEIFS</v>
      </c>
      <c r="B54">
        <f>AVERAGEIFS(E30:E33,D30:D33,"A")</f>
        <v>0</v>
      </c>
    </row>
    <row r="55">
      <c r="A55" t="str">
        <v>MAXIFS</v>
      </c>
      <c r="B55">
        <f>MAXIFS(E36:E39,D36:D39,"A")</f>
        <v>0</v>
      </c>
    </row>
    <row r="56">
      <c r="A56" t="str">
        <v>MINIFS</v>
      </c>
      <c r="B56">
        <f>MINIFS(E42:E45,D42:D45,"A")</f>
        <v>0</v>
      </c>
    </row>
    <row r="57">
      <c r="A57" t="str">
        <v>VLOOKUP</v>
      </c>
      <c r="B57" t="str">
        <f>VLOOKUP(102,D16:G19,2,FALSE)</f>
        <v/>
      </c>
    </row>
    <row r="58">
      <c r="A58" t="str">
        <v>HLOOKUP</v>
      </c>
      <c r="B58">
        <f>HLOOKUP("Q3",D22:H23,2,FALSE)</f>
        <v>0</v>
      </c>
    </row>
    <row r="59">
      <c r="A59" t="str">
        <v>INDEX</v>
      </c>
      <c r="B59">
        <f>INDEX(D16:G19,3,4)</f>
        <v>0</v>
      </c>
    </row>
    <row r="60">
      <c r="A60" t="str">
        <v>MATCH</v>
      </c>
      <c r="B60">
        <f>MATCH(25,D2:D6,0)</f>
        <v>0</v>
      </c>
    </row>
    <row r="61">
      <c r="A61" t="str">
        <v>CHOOSE</v>
      </c>
      <c r="B61" t="str">
        <f>CHOOSE(2,"a","b","c")</f>
        <v/>
      </c>
    </row>
    <row r="62">
      <c r="A62" t="str">
        <v>ROW</v>
      </c>
      <c r="B62">
        <f>ROW(D15)</f>
        <v>0</v>
      </c>
    </row>
    <row r="63">
      <c r="A63" t="str">
        <v>COLUMN</v>
      </c>
      <c r="B63">
        <f>COLUMN(G15)</f>
        <v>0</v>
      </c>
    </row>
    <row r="64">
      <c r="A64" t="str">
        <v>ROWS</v>
      </c>
      <c r="B64">
        <f>ROWS(D2:D6)</f>
        <v>0</v>
      </c>
    </row>
    <row r="65">
      <c r="A65" t="str">
        <v>COLUMNS</v>
      </c>
      <c r="B65">
        <f>COLUMNS(D8:H8)</f>
        <v>0</v>
      </c>
    </row>
    <row r="66">
      <c r="A66" t="str">
        <v>OFFSET</v>
      </c>
      <c r="B66">
        <f>OFFSET(D26,1,1)</f>
        <v>0</v>
      </c>
    </row>
    <row r="67">
      <c r="A67" t="str">
        <v>DATE</v>
      </c>
      <c r="B67">
        <f>DATE(2023,5,10)</f>
        <v>0</v>
      </c>
    </row>
    <row r="68">
      <c r="A68" t="str">
        <v>YEAR</v>
      </c>
      <c r="B68">
        <f>YEAR(DATE(2023,5,10))</f>
        <v>0</v>
      </c>
    </row>
    <row r="69">
      <c r="A69" t="str">
        <v>MONTH</v>
      </c>
      <c r="B69">
        <f>MONTH(DATE(2023,5,10))</f>
        <v>0</v>
      </c>
    </row>
    <row r="70">
      <c r="A70" t="str">
        <v>DAY</v>
      </c>
      <c r="B70">
        <f>DAY(DATE(2023,5,10))</f>
        <v>0</v>
      </c>
    </row>
    <row r="71">
      <c r="A71" t="str">
        <v>HOUR</v>
      </c>
      <c r="B71">
        <f>HOUR(0.5)</f>
        <v>0</v>
      </c>
    </row>
    <row r="72">
      <c r="A72" t="str">
        <v>MINUTE</v>
      </c>
      <c r="B72">
        <f>MINUTE(0.0625)</f>
        <v>0</v>
      </c>
    </row>
    <row r="73">
      <c r="A73" t="str">
        <v>SECOND</v>
      </c>
      <c r="B73">
        <f>SECOND(0.0078125)</f>
        <v>0</v>
      </c>
    </row>
    <row r="74">
      <c r="A74" t="str">
        <v>EOMONTH</v>
      </c>
      <c r="B74">
        <f>EOMONTH(DATE(2023,1,1),-1)</f>
        <v>0</v>
      </c>
    </row>
    <row r="75">
      <c r="A75" t="str">
        <v>EDATE</v>
      </c>
      <c r="B75">
        <f>EDATE(DATE(2023,1,31),1)</f>
        <v>0</v>
      </c>
    </row>
    <row r="76">
      <c r="A76" t="str">
        <v>DATEDIF</v>
      </c>
      <c r="B76">
        <f>DATEDIF(DATE(2020,1,1),DATE(2023,1,1),"Y")</f>
        <v>0</v>
      </c>
    </row>
    <row r="77">
      <c r="A77" t="str">
        <v>WEEKDAY (return_type 1, default)</v>
      </c>
      <c r="B77">
        <f>WEEKDAY(DATE(2023,1,2))</f>
        <v>0</v>
      </c>
    </row>
    <row r="78">
      <c r="A78" t="str">
        <v>WEEKDAY (return_type 2)</v>
      </c>
      <c r="B78">
        <f>WEEKDAY(DATE(2023,1,2),2)</f>
        <v>0</v>
      </c>
    </row>
    <row r="79">
      <c r="A79" t="str">
        <v>WEEKDAY (return_type 3)</v>
      </c>
      <c r="B79">
        <f>WEEKDAY(DATE(2023,1,2),3)</f>
        <v>0</v>
      </c>
    </row>
    <row r="80">
      <c r="A80" t="str">
        <v>NETWORKDAYS</v>
      </c>
      <c r="B80">
        <f>NETWORKDAYS(DATE(2023,1,2),DATE(2023,1,13))</f>
        <v>0</v>
      </c>
    </row>
    <row r="81">
      <c r="A81" t="str">
        <v>DATEVALUE</v>
      </c>
      <c r="B81">
        <f>DATEVALUE("2023-06-15")</f>
        <v>0</v>
      </c>
    </row>
    <row r="82">
      <c r="A82" t="str">
        <v>LEN</v>
      </c>
      <c r="B82">
        <f>LEN("hello")</f>
        <v>0</v>
      </c>
    </row>
    <row r="83">
      <c r="A83" t="str">
        <v>LEFT</v>
      </c>
      <c r="B83" t="str">
        <f>LEFT("hello",2)</f>
        <v/>
      </c>
    </row>
    <row r="84">
      <c r="A84" t="str">
        <v>RIGHT</v>
      </c>
      <c r="B84" t="str">
        <f>RIGHT("hello",2)</f>
        <v/>
      </c>
    </row>
    <row r="85">
      <c r="A85" t="str">
        <v>MID</v>
      </c>
      <c r="B85" t="str">
        <f>MID("hello",2,3)</f>
        <v/>
      </c>
    </row>
    <row r="86">
      <c r="A86" t="str">
        <v>TRIM</v>
      </c>
      <c r="B86" t="str">
        <f>TRIM("  a   b  ")</f>
        <v/>
      </c>
    </row>
    <row r="87">
      <c r="A87" t="str">
        <v>UPPER</v>
      </c>
      <c r="B87" t="str">
        <f>UPPER("abc")</f>
        <v/>
      </c>
    </row>
    <row r="88">
      <c r="A88" t="str">
        <v>LOWER</v>
      </c>
      <c r="B88" t="str">
        <f>LOWER("ABC")</f>
        <v/>
      </c>
    </row>
    <row r="89">
      <c r="A89" t="str">
        <v>PROPER</v>
      </c>
      <c r="B89" t="str">
        <f>PROPER("hello world")</f>
        <v/>
      </c>
    </row>
    <row r="90">
      <c r="A90" t="str">
        <v>CONCATENATE</v>
      </c>
      <c r="B90" t="str">
        <f>CONCATENATE("a","b","c")</f>
        <v/>
      </c>
    </row>
    <row r="91">
      <c r="A91" t="str">
        <v>CONCAT</v>
      </c>
      <c r="B91" t="str">
        <f>CONCAT("a","b","c")</f>
        <v/>
      </c>
    </row>
    <row r="92">
      <c r="A92" t="str">
        <v>TEXTJOIN</v>
      </c>
      <c r="B92" t="str">
        <f>TEXTJOIN(",",TRUE,"a","","b")</f>
        <v/>
      </c>
    </row>
    <row r="93">
      <c r="A93" t="str">
        <v>TEXT (banker’s rounding, 2.5 is binary-exact)</v>
      </c>
      <c r="B93" t="str">
        <f>TEXT(2.5,"0")</f>
        <v/>
      </c>
    </row>
    <row r="94">
      <c r="A94" t="str">
        <v>TEXT (binary-imprecise 0.15, rounds down)</v>
      </c>
      <c r="B94" t="str">
        <f>TEXT(0.15,"0.0")</f>
        <v/>
      </c>
    </row>
    <row r="95">
      <c r="A95" t="str">
        <v>TEXT (binary-imprecise 0.45, rounds up)</v>
      </c>
      <c r="B95" t="str">
        <f>TEXT(0.45,"0.0")</f>
        <v/>
      </c>
    </row>
    <row r="96">
      <c r="A96" t="str">
        <v>TEXT (binary-imprecise 2.675 with grouping)</v>
      </c>
      <c r="B96" t="str">
        <f>TEXT(2.675,"#,##0.00")</f>
        <v/>
      </c>
    </row>
    <row r="97">
      <c r="A97" t="str">
        <v>TEXT (negative rounding to zero keeps its sign)</v>
      </c>
      <c r="B97" t="str">
        <f>TEXT(-0.004,"0.00")</f>
        <v/>
      </c>
    </row>
    <row r="98">
      <c r="A98" t="str">
        <v>SUBSTITUTE</v>
      </c>
      <c r="B98" t="str">
        <f>SUBSTITUTE("hello world","o","0")</f>
        <v/>
      </c>
    </row>
    <row r="99">
      <c r="A99" t="str">
        <v>SUBSTITUTE (empty old_text)</v>
      </c>
      <c r="B99" t="str">
        <f>SUBSTITUTE("abc","","X")</f>
        <v/>
      </c>
    </row>
    <row r="100">
      <c r="A100" t="str">
        <v>REPLACE</v>
      </c>
      <c r="B100" t="str">
        <f>REPLACE("hello",2,3,"ELLO")</f>
        <v/>
      </c>
    </row>
    <row r="101">
      <c r="A101" t="str">
        <v>FIND</v>
      </c>
      <c r="B101">
        <f>FIND("l","hello")</f>
        <v>0</v>
      </c>
    </row>
    <row r="102">
      <c r="A102" t="str">
        <v>SEARCH</v>
      </c>
      <c r="B102">
        <f>SEARCH("L","hello")</f>
        <v>0</v>
      </c>
    </row>
    <row r="103">
      <c r="A103" t="str">
        <v>VALUE</v>
      </c>
      <c r="B103">
        <f>VALUE("123.45")</f>
        <v>0</v>
      </c>
    </row>
    <row r="104">
      <c r="A104" t="str">
        <v>REPT</v>
      </c>
      <c r="B104" t="str">
        <f>REPT("ab",3)</f>
        <v/>
      </c>
    </row>
    <row r="105">
      <c r="A105" t="str">
        <v>EXACT</v>
      </c>
      <c r="B105" t="b">
        <f>EXACT("abc","abc")</f>
        <v>0</v>
      </c>
    </row>
    <row r="106">
      <c r="A106" t="str">
        <v>T</v>
      </c>
      <c r="B106" t="str">
        <f>T("hello")</f>
        <v/>
      </c>
    </row>
    <row r="107">
      <c r="A107" t="str">
        <v>N</v>
      </c>
      <c r="B107">
        <f>N(TRUE)</f>
        <v>0</v>
      </c>
    </row>
    <row r="108">
      <c r="A108" t="str">
        <v>CLEAN</v>
      </c>
      <c r="B108" t="str">
        <f>CLEAN("a"&amp;CHAR(9)&amp;"b")</f>
        <v/>
      </c>
    </row>
    <row r="109">
      <c r="A109" t="str">
        <v>CHAR</v>
      </c>
      <c r="B109" t="str">
        <f>CHAR(65)</f>
        <v/>
      </c>
    </row>
    <row r="110">
      <c r="A110" t="str">
        <v>CODE</v>
      </c>
      <c r="B110">
        <f>CODE("A")</f>
        <v>0</v>
      </c>
    </row>
    <row r="111">
      <c r="A111" t="str">
        <v>NUMBERVALUE</v>
      </c>
      <c r="B111">
        <f>NUMBERVALUE("1.234,56",",",".")</f>
        <v>0</v>
      </c>
    </row>
  </sheetData>
  <ignoredErrors>
    <ignoredError numberStoredAsText="1" sqref="A1:H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