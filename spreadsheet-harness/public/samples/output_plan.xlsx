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ekly 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"/>
    <numFmt numFmtId="61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60" fontId="0" fillId="0" borderId="0" xfId="0" applyNumberFormat="1"/>
    <xf numFmtId="1" fontId="0" fillId="0" borderId="0" xfId="0" applyNumberFormat="1"/>
    <xf numFmtId="2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workbookViewId="0"/>
  </sheetViews>
  <cols>
    <col min="1" max="1" width="11.83203125" customWidth="1"/>
    <col min="2" max="2" width="11.83203125" customWidth="1"/>
    <col min="3" max="3" width="13.83203125" customWidth="1"/>
    <col min="4" max="4" width="12.83203125" customWidth="1"/>
    <col min="5" max="5" width="12.83203125" customWidth="1"/>
    <col min="6" max="6" width="13.83203125" customWidth="1"/>
    <col min="7" max="7" width="15.83203125" customWidth="1"/>
    <col min="8" max="8" width="13.83203125" customWidth="1"/>
    <col min="9" max="9" width="14.83203125" customWidth="1"/>
    <col min="10" max="10" width="14.83203125" customWidth="1"/>
    <col min="11" max="11" width="32.83203125" customWidth="1"/>
    <col min="12" max="12" width="18.83203125" customWidth="1"/>
    <col min="13" max="13" width="12.83203125" customWidth="1"/>
  </cols>
  <sheetData>
    <row r="1">
      <c r="A1" t="str">
        <v>Order No</v>
      </c>
      <c r="B1" t="str">
        <v>Item Code</v>
      </c>
      <c r="C1" t="str">
        <v>Qty To Make</v>
      </c>
      <c r="D1" t="str">
        <v>Due Date</v>
      </c>
      <c r="E1" t="str">
        <v>Days To Due</v>
      </c>
      <c r="F1" t="str">
        <v>Std Hrs/Unit</v>
      </c>
      <c r="G1" t="str">
        <v>Total Load Hrs</v>
      </c>
      <c r="H1" t="str">
        <v>Material OK?</v>
      </c>
      <c r="I1" t="str">
        <v>Priority Score</v>
      </c>
      <c r="J1" t="str">
        <v>Planned Week</v>
      </c>
      <c r="K1" t="str">
        <v>Planner Notes</v>
      </c>
      <c r="L1" t="str">
        <v>Plan as-of date →</v>
      </c>
      <c r="M1" s="1">
        <v>46244.125</v>
      </c>
    </row>
    <row r="2">
      <c r="A2" t="str">
        <v>SO-21400</v>
      </c>
      <c r="B2" t="str">
        <v>HS-90</v>
      </c>
      <c r="C2">
        <v>65</v>
      </c>
      <c r="D2" s="1" t="d">
        <v>2026-10-04T03:00:00.000Z</v>
      </c>
      <c r="E2" s="2">
        <f>D2-$M$1</f>
        <v>55</v>
      </c>
      <c r="F2" s="3">
        <f>VLOOKUP(B2,'[capacity.xlsx]Std Hours'!$A:$H,8,FALSE)</f>
        <v>5.5</v>
      </c>
      <c r="G2" s="4">
        <f>C2*F2</f>
        <v>357.5</v>
      </c>
      <c r="H2" t="str">
        <f>IF(COUNTIFS('[stock.xlsx]Components'!$A:$A,B2)=0,"CHECK","OK")</f>
        <v>CHECK</v>
      </c>
      <c r="I2">
        <v>92</v>
      </c>
      <c r="J2" t="str">
        <v>2026-W34</v>
      </c>
      <c r="K2" t="str">
        <v>Hot — Wexler line stoppage</v>
      </c>
    </row>
    <row r="3">
      <c r="A3" t="str">
        <v>SO-21403</v>
      </c>
      <c r="B3" t="str">
        <v>PL-330</v>
      </c>
      <c r="C3">
        <v>15</v>
      </c>
      <c r="D3" s="1" t="d">
        <v>2026-10-04T03:00:00.000Z</v>
      </c>
      <c r="E3" s="2">
        <f>D3-$M$1</f>
        <v>55</v>
      </c>
      <c r="F3" s="3">
        <f>VLOOKUP(B3,'[capacity.xlsx]Std Hours'!$A:$H,8,FALSE)</f>
        <v>0.72</v>
      </c>
      <c r="G3" s="4">
        <f>C3*F3</f>
        <v>10.8</v>
      </c>
      <c r="H3" t="str">
        <f>IF(COUNTIFS('[stock.xlsx]Components'!$A:$A,B3)=0,"CHECK","OK")</f>
        <v>CHECK</v>
      </c>
      <c r="I3">
        <v>70</v>
      </c>
      <c r="J3" t="str">
        <v>2026-W34</v>
      </c>
      <c r="K3" t="str">
        <v/>
      </c>
    </row>
    <row r="4">
      <c r="A4" t="str">
        <v>SO-21406</v>
      </c>
      <c r="B4" t="str">
        <v>CV-75</v>
      </c>
      <c r="C4">
        <v>50</v>
      </c>
      <c r="D4" s="1" t="d">
        <v>2026-08-04T03:00:00.000Z</v>
      </c>
      <c r="E4" s="2">
        <f>D4-$M$1</f>
        <v>-6</v>
      </c>
      <c r="F4" s="3">
        <f>VLOOKUP(B4,'[capacity.xlsx]Std Hours'!$A:$H,8,FALSE)</f>
        <v>3.95</v>
      </c>
      <c r="G4" s="4">
        <f>C4*F4</f>
        <v>197.5</v>
      </c>
      <c r="H4" t="str">
        <f>IF(COUNTIFS('[stock.xlsx]Components'!$A:$A,B4)=0,"CHECK","OK")</f>
        <v>CHECK</v>
      </c>
      <c r="I4">
        <v>55</v>
      </c>
      <c r="J4" t="str">
        <v>2026-W35</v>
      </c>
      <c r="K4" t="str">
        <v>Waiting on RAL9005 powder</v>
      </c>
    </row>
    <row r="5">
      <c r="A5" t="str">
        <v>SO-21412</v>
      </c>
      <c r="B5" t="str">
        <v>FR-1800</v>
      </c>
      <c r="C5">
        <v>15</v>
      </c>
      <c r="D5" s="1" t="d">
        <v>2026-09-22T03:00:00.000Z</v>
      </c>
      <c r="E5" s="2">
        <f>D5-$M$1</f>
        <v>43</v>
      </c>
      <c r="F5" s="3">
        <f>VLOOKUP(B5,'[capacity.xlsx]Std Hours'!$A:$H,8,FALSE)</f>
        <v>3.75</v>
      </c>
      <c r="G5" s="4">
        <f>C5*F5</f>
        <v>56.25</v>
      </c>
      <c r="H5" t="str">
        <f>IF(COUNTIFS('[stock.xlsx]Components'!$A:$A,B5)=0,"CHECK","OK")</f>
        <v>CHECK</v>
      </c>
      <c r="I5">
        <v>88</v>
      </c>
      <c r="J5" t="str">
        <v>2026-W34</v>
      </c>
      <c r="K5" t="str">
        <v>Split: 40 now, rest W36</v>
      </c>
    </row>
    <row r="6">
      <c r="A6" t="str">
        <v>SO-21418</v>
      </c>
      <c r="B6" t="str">
        <v>FR-1200</v>
      </c>
      <c r="C6">
        <v>20</v>
      </c>
      <c r="D6" s="1" t="d">
        <v>2026-09-13T03:00:00.000Z</v>
      </c>
      <c r="E6" s="2">
        <f>D6-$M$1</f>
        <v>34</v>
      </c>
      <c r="F6" s="3">
        <f>VLOOKUP(B6,'[capacity.xlsx]Std Hours'!$A:$H,8,FALSE)</f>
        <v>2.7</v>
      </c>
      <c r="G6" s="4">
        <f>C6*F6</f>
        <v>54</v>
      </c>
      <c r="H6" t="str">
        <f>IF(COUNTIFS('[stock.xlsx]Components'!$A:$A,B6)=0,"CHECK","OK")</f>
        <v>CHECK</v>
      </c>
      <c r="I6">
        <v>40</v>
      </c>
      <c r="J6" t="str">
        <v>2026-W36</v>
      </c>
      <c r="K6" t="str">
        <v/>
      </c>
    </row>
    <row r="7">
      <c r="A7" t="str">
        <v>SO-21421</v>
      </c>
      <c r="B7" t="str">
        <v>PL-330</v>
      </c>
      <c r="C7">
        <v>105</v>
      </c>
      <c r="D7" s="1" t="d">
        <v>2026-09-07T03:00:00.000Z</v>
      </c>
      <c r="E7" s="2">
        <f>D7-$M$1</f>
        <v>28</v>
      </c>
      <c r="F7" s="3">
        <f>VLOOKUP(B7,'[capacity.xlsx]Std Hours'!$A:$H,8,FALSE)</f>
        <v>0.72</v>
      </c>
      <c r="G7" s="4">
        <f>C7*F7</f>
        <v>75.6</v>
      </c>
      <c r="H7" t="str">
        <f>IF(COUNTIFS('[stock.xlsx]Components'!$A:$A,B7)=0,"CHECK","OK")</f>
        <v>CHECK</v>
      </c>
      <c r="I7">
        <v>61</v>
      </c>
      <c r="J7" t="str">
        <v>2026-W35</v>
      </c>
      <c r="K7" t="str">
        <v/>
      </c>
    </row>
    <row r="8">
      <c r="A8" t="str">
        <v>SO-21424</v>
      </c>
      <c r="B8" t="str">
        <v>HS-90</v>
      </c>
      <c r="C8">
        <v>40</v>
      </c>
      <c r="D8" s="1" t="d">
        <v>2026-09-24T03:00:00.000Z</v>
      </c>
      <c r="E8" s="2">
        <f>D8-$M$1</f>
        <v>45</v>
      </c>
      <c r="F8" s="3">
        <f>VLOOKUP(B8,'[capacity.xlsx]Std Hours'!$A:$H,8,FALSE)</f>
        <v>5.5</v>
      </c>
      <c r="G8" s="4">
        <f>C8*F8</f>
        <v>220</v>
      </c>
      <c r="H8" t="str">
        <f>IF(COUNTIFS('[stock.xlsx]Components'!$A:$A,B8)=0,"CHECK","OK")</f>
        <v>CHECK</v>
      </c>
    </row>
    <row r="9">
      <c r="A9" t="str">
        <v>SO-21427</v>
      </c>
      <c r="B9" t="str">
        <v>HS-140</v>
      </c>
      <c r="C9">
        <v>26</v>
      </c>
      <c r="D9" s="1" t="d">
        <v>2026-08-17T03:00:00.000Z</v>
      </c>
      <c r="E9" s="2">
        <f>D9-$M$1</f>
        <v>7</v>
      </c>
      <c r="F9" s="3">
        <f>VLOOKUP(B9,'[capacity.xlsx]Std Hours'!$A:$H,8,FALSE)</f>
        <v>7.45</v>
      </c>
      <c r="G9" s="4">
        <f>C9*F9</f>
        <v>193.7</v>
      </c>
      <c r="H9" t="str">
        <f>IF(COUNTIFS('[stock.xlsx]Components'!$A:$A,B9)=0,"CHECK","OK")</f>
        <v>CHECK</v>
      </c>
      <c r="I9">
        <v>95</v>
      </c>
      <c r="J9" t="str">
        <v>2026-W33</v>
      </c>
      <c r="K9" t="str">
        <v>Pull forward, PAINT has slack</v>
      </c>
    </row>
    <row r="10">
      <c r="A10" t="str">
        <v>SO-21430</v>
      </c>
      <c r="B10" t="str">
        <v>HS-90</v>
      </c>
      <c r="C10">
        <v>23</v>
      </c>
      <c r="D10" s="1" t="d">
        <v>2026-08-08T03:00:00.000Z</v>
      </c>
      <c r="E10" s="2">
        <f>D10-$M$1</f>
        <v>-2</v>
      </c>
      <c r="F10" s="3">
        <f>VLOOKUP(B10,'[capacity.xlsx]Std Hours'!$A:$H,8,FALSE)</f>
        <v>5.5</v>
      </c>
      <c r="G10" s="4">
        <f>C10*F10</f>
        <v>126.5</v>
      </c>
      <c r="H10" t="str">
        <f>IF(COUNTIFS('[stock.xlsx]Components'!$A:$A,B10)=0,"CHECK","OK")</f>
        <v>CHECK</v>
      </c>
      <c r="I10">
        <v>35</v>
      </c>
      <c r="J10" t="str">
        <v>2026-W37</v>
      </c>
      <c r="K10" t="str">
        <v>Customer agreed to slip</v>
      </c>
    </row>
    <row r="11">
      <c r="A11" t="str">
        <v>SO-21436</v>
      </c>
      <c r="B11" t="str">
        <v>BR-620</v>
      </c>
      <c r="C11">
        <v>80</v>
      </c>
      <c r="D11" s="1" t="d">
        <v>2026-09-14T03:00:00.000Z</v>
      </c>
      <c r="E11" s="2">
        <f>D11-$M$1</f>
        <v>35</v>
      </c>
      <c r="F11" s="3">
        <f>VLOOKUP(B11,'[capacity.xlsx]Std Hours'!$A:$H,8,FALSE)</f>
        <v>0.82</v>
      </c>
      <c r="G11" s="4">
        <f>C11*F11</f>
        <v>65.6</v>
      </c>
      <c r="H11" t="str">
        <f>IF(COUNTIFS('[stock.xlsx]Components'!$A:$A,B11)=0,"CHECK","OK")</f>
        <v>CHECK</v>
      </c>
    </row>
    <row r="12">
      <c r="A12" t="str">
        <v>SO-21439</v>
      </c>
      <c r="B12" t="str">
        <v>HS-90</v>
      </c>
      <c r="C12">
        <v>40</v>
      </c>
      <c r="D12" s="1" t="d">
        <v>2026-09-20T03:00:00.000Z</v>
      </c>
      <c r="E12" s="2">
        <f>D12-$M$1</f>
        <v>41</v>
      </c>
      <c r="F12" s="3">
        <f>VLOOKUP(B12,'[capacity.xlsx]Std Hours'!$A:$H,8,FALSE)</f>
        <v>5.5</v>
      </c>
      <c r="G12" s="4">
        <f>C12*F12</f>
        <v>220</v>
      </c>
      <c r="H12" t="str">
        <f>IF(COUNTIFS('[stock.xlsx]Components'!$A:$A,B12)=0,"CHECK","OK")</f>
        <v>CHECK</v>
      </c>
    </row>
    <row r="13">
      <c r="A13" t="str">
        <v>SO-21442</v>
      </c>
      <c r="B13" t="str">
        <v>BR-450</v>
      </c>
      <c r="C13">
        <v>23</v>
      </c>
      <c r="D13" s="1" t="d">
        <v>2026-09-25T03:00:00.000Z</v>
      </c>
      <c r="E13" s="2">
        <f>D13-$M$1</f>
        <v>46</v>
      </c>
      <c r="F13" s="3">
        <f>VLOOKUP(B13,'[capacity.xlsx]Std Hours'!$A:$H,8,FALSE)</f>
        <v>0.64</v>
      </c>
      <c r="G13" s="4">
        <f>C13*F13</f>
        <v>14.72</v>
      </c>
      <c r="H13" t="str">
        <f>IF(COUNTIFS('[stock.xlsx]Components'!$A:$A,B13)=0,"CHECK","OK")</f>
        <v>CHECK</v>
      </c>
      <c r="I13">
        <v>78</v>
      </c>
      <c r="J13" t="str">
        <v>2026-W35</v>
      </c>
      <c r="K13" t="str">
        <v/>
      </c>
    </row>
    <row r="14">
      <c r="A14" t="str">
        <v>SO-21445</v>
      </c>
      <c r="B14" t="str">
        <v>FR-1200</v>
      </c>
      <c r="C14">
        <v>85</v>
      </c>
      <c r="D14" s="1" t="d">
        <v>2026-08-31T03:00:00.000Z</v>
      </c>
      <c r="E14" s="2">
        <f>D14-$M$1</f>
        <v>21</v>
      </c>
      <c r="F14" s="3">
        <f>VLOOKUP(B14,'[capacity.xlsx]Std Hours'!$A:$H,8,FALSE)</f>
        <v>2.7</v>
      </c>
      <c r="G14" s="4">
        <f>C14*F14</f>
        <v>229.5</v>
      </c>
      <c r="H14" t="str">
        <f>IF(COUNTIFS('[stock.xlsx]Components'!$A:$A,B14)=0,"CHECK","OK")</f>
        <v>CHECK</v>
      </c>
    </row>
    <row r="15">
      <c r="A15" t="str">
        <v>SO-21448</v>
      </c>
      <c r="B15" t="str">
        <v>BR-450</v>
      </c>
      <c r="C15">
        <v>55</v>
      </c>
      <c r="D15" s="1" t="d">
        <v>2026-09-20T03:00:00.000Z</v>
      </c>
      <c r="E15" s="2">
        <f>D15-$M$1</f>
        <v>41</v>
      </c>
      <c r="F15" s="3">
        <f>VLOOKUP(B15,'[capacity.xlsx]Std Hours'!$A:$H,8,FALSE)</f>
        <v>0.64</v>
      </c>
      <c r="G15" s="4">
        <f>C15*F15</f>
        <v>35.2</v>
      </c>
      <c r="H15" t="str">
        <f>IF(COUNTIFS('[stock.xlsx]Components'!$A:$A,B15)=0,"CHECK","OK")</f>
        <v>CHECK</v>
      </c>
    </row>
    <row r="16">
      <c r="A16" t="str">
        <v>SO-21451</v>
      </c>
      <c r="B16" t="str">
        <v>BR-620</v>
      </c>
      <c r="C16">
        <v>120</v>
      </c>
      <c r="D16" s="1" t="d">
        <v>2026-08-20T03:00:00.000Z</v>
      </c>
      <c r="E16" s="2">
        <f>D16-$M$1</f>
        <v>10</v>
      </c>
      <c r="F16" s="3">
        <f>VLOOKUP(B16,'[capacity.xlsx]Std Hours'!$A:$H,8,FALSE)</f>
        <v>0.82</v>
      </c>
      <c r="G16" s="4">
        <f>C16*F16</f>
        <v>98.4</v>
      </c>
      <c r="H16" t="str">
        <f>IF(COUNTIFS('[stock.xlsx]Components'!$A:$A,B16)=0,"CHECK","OK")</f>
        <v>CHECK</v>
      </c>
    </row>
    <row r="17">
      <c r="A17" t="str">
        <v>SO-21460</v>
      </c>
      <c r="B17" t="str">
        <v>CV-75</v>
      </c>
      <c r="C17">
        <v>70</v>
      </c>
      <c r="D17" s="1" t="d">
        <v>2026-09-27T03:00:00.000Z</v>
      </c>
      <c r="E17" s="2">
        <f>D17-$M$1</f>
        <v>48</v>
      </c>
      <c r="F17" s="3">
        <f>VLOOKUP(B17,'[capacity.xlsx]Std Hours'!$A:$H,8,FALSE)</f>
        <v>3.95</v>
      </c>
      <c r="G17" s="4">
        <f>C17*F17</f>
        <v>276.5</v>
      </c>
      <c r="H17" t="str">
        <f>IF(COUNTIFS('[stock.xlsx]Components'!$A:$A,B17)=0,"CHECK","OK")</f>
        <v>CHECK</v>
      </c>
    </row>
    <row r="18">
      <c r="A18" t="str">
        <v>SO-21463</v>
      </c>
      <c r="B18" t="str">
        <v>HS-140</v>
      </c>
      <c r="C18">
        <v>105</v>
      </c>
      <c r="D18" s="1" t="d">
        <v>2026-08-14T03:00:00.000Z</v>
      </c>
      <c r="E18" s="2">
        <f>D18-$M$1</f>
        <v>4</v>
      </c>
      <c r="F18" s="3">
        <f>VLOOKUP(B18,'[capacity.xlsx]Std Hours'!$A:$H,8,FALSE)</f>
        <v>7.45</v>
      </c>
      <c r="G18" s="4">
        <f>C18*F18</f>
        <v>782.25</v>
      </c>
      <c r="H18" t="str">
        <f>IF(COUNTIFS('[stock.xlsx]Components'!$A:$A,B18)=0,"CHECK","OK")</f>
        <v>CHECK</v>
      </c>
    </row>
    <row r="19">
      <c r="A19" t="str">
        <v>SO-21466</v>
      </c>
      <c r="B19" t="str">
        <v>FR-1200</v>
      </c>
      <c r="C19">
        <v>80</v>
      </c>
      <c r="D19" s="1" t="d">
        <v>2026-09-23T03:00:00.000Z</v>
      </c>
      <c r="E19" s="2">
        <f>D19-$M$1</f>
        <v>44</v>
      </c>
      <c r="F19" s="3">
        <f>VLOOKUP(B19,'[capacity.xlsx]Std Hours'!$A:$H,8,FALSE)</f>
        <v>2.7</v>
      </c>
      <c r="G19" s="4">
        <f>C19*F19</f>
        <v>216</v>
      </c>
      <c r="H19" t="str">
        <f>IF(COUNTIFS('[stock.xlsx]Components'!$A:$A,B19)=0,"CHECK","OK")</f>
        <v>CHECK</v>
      </c>
    </row>
    <row r="20">
      <c r="A20" t="str">
        <v>SO-21469</v>
      </c>
      <c r="B20" t="str">
        <v>BR-450</v>
      </c>
      <c r="C20">
        <v>75</v>
      </c>
      <c r="D20" s="1" t="d">
        <v>2026-09-12T03:00:00.000Z</v>
      </c>
      <c r="E20" s="2">
        <f>D20-$M$1</f>
        <v>33</v>
      </c>
      <c r="F20" s="3">
        <f>VLOOKUP(B20,'[capacity.xlsx]Std Hours'!$A:$H,8,FALSE)</f>
        <v>0.64</v>
      </c>
      <c r="G20" s="4">
        <f>C20*F20</f>
        <v>48</v>
      </c>
      <c r="H20" t="str">
        <f>IF(COUNTIFS('[stock.xlsx]Components'!$A:$A,B20)=0,"CHECK","OK")</f>
        <v>CHECK</v>
      </c>
    </row>
    <row r="21">
      <c r="A21" t="str">
        <v>SO-21472</v>
      </c>
      <c r="B21" t="str">
        <v>FR-1800</v>
      </c>
      <c r="C21">
        <v>8</v>
      </c>
      <c r="D21" s="1" t="d">
        <v>2026-08-24T03:00:00.000Z</v>
      </c>
      <c r="E21" s="2">
        <f>D21-$M$1</f>
        <v>14</v>
      </c>
      <c r="F21" s="3">
        <f>VLOOKUP(B21,'[capacity.xlsx]Std Hours'!$A:$H,8,FALSE)</f>
        <v>3.75</v>
      </c>
      <c r="G21" s="4">
        <f>C21*F21</f>
        <v>30</v>
      </c>
      <c r="H21" t="str">
        <f>IF(COUNTIFS('[stock.xlsx]Components'!$A:$A,B21)=0,"CHECK","OK")</f>
        <v>CHECK</v>
      </c>
    </row>
    <row r="22">
      <c r="A22" t="str">
        <v>SO-21478</v>
      </c>
      <c r="B22" t="str">
        <v>HS-90</v>
      </c>
      <c r="C22">
        <v>55</v>
      </c>
      <c r="D22" s="1" t="d">
        <v>2026-10-03T03:00:00.000Z</v>
      </c>
      <c r="E22" s="2">
        <f>D22-$M$1</f>
        <v>54</v>
      </c>
      <c r="F22" s="3">
        <f>VLOOKUP(B22,'[capacity.xlsx]Std Hours'!$A:$H,8,FALSE)</f>
        <v>5.5</v>
      </c>
      <c r="G22" s="4">
        <f>C22*F22</f>
        <v>302.5</v>
      </c>
      <c r="H22" t="str">
        <f>IF(COUNTIFS('[stock.xlsx]Components'!$A:$A,B22)=0,"CHECK","OK")</f>
        <v>CHECK</v>
      </c>
    </row>
    <row r="23">
      <c r="A23" t="str">
        <v>SO-21481</v>
      </c>
      <c r="B23" t="str">
        <v>HS-140</v>
      </c>
      <c r="C23">
        <v>75</v>
      </c>
      <c r="D23" s="1" t="d">
        <v>2026-09-20T03:00:00.000Z</v>
      </c>
      <c r="E23" s="2">
        <f>D23-$M$1</f>
        <v>41</v>
      </c>
      <c r="F23" s="3">
        <f>VLOOKUP(B23,'[capacity.xlsx]Std Hours'!$A:$H,8,FALSE)</f>
        <v>7.45</v>
      </c>
      <c r="G23" s="4">
        <f>C23*F23</f>
        <v>558.75</v>
      </c>
      <c r="H23" t="str">
        <f>IF(COUNTIFS('[stock.xlsx]Components'!$A:$A,B23)=0,"CHECK","OK")</f>
        <v>CHECK</v>
      </c>
    </row>
    <row r="24">
      <c r="A24" t="str">
        <v>SO-21484</v>
      </c>
      <c r="B24" t="str">
        <v>CV-75</v>
      </c>
      <c r="C24">
        <v>21</v>
      </c>
      <c r="D24" s="1" t="d">
        <v>2026-09-19T03:00:00.000Z</v>
      </c>
      <c r="E24" s="2">
        <f>D24-$M$1</f>
        <v>40</v>
      </c>
      <c r="F24" s="3">
        <f>VLOOKUP(B24,'[capacity.xlsx]Std Hours'!$A:$H,8,FALSE)</f>
        <v>3.95</v>
      </c>
      <c r="G24" s="4">
        <f>C24*F24</f>
        <v>82.95</v>
      </c>
      <c r="H24" t="str">
        <f>IF(COUNTIFS('[stock.xlsx]Components'!$A:$A,B24)=0,"CHECK","OK")</f>
        <v>CHECK</v>
      </c>
    </row>
    <row r="25">
      <c r="A25" t="str">
        <v>SO-21487</v>
      </c>
      <c r="B25" t="str">
        <v>BR-450</v>
      </c>
      <c r="C25">
        <v>30</v>
      </c>
      <c r="D25" s="1" t="d">
        <v>2026-08-07T03:00:00.000Z</v>
      </c>
      <c r="E25" s="2">
        <f>D25-$M$1</f>
        <v>-3</v>
      </c>
      <c r="F25" s="3">
        <f>VLOOKUP(B25,'[capacity.xlsx]Std Hours'!$A:$H,8,FALSE)</f>
        <v>0.64</v>
      </c>
      <c r="G25" s="4">
        <f>C25*F25</f>
        <v>19.2</v>
      </c>
      <c r="H25" t="str">
        <f>IF(COUNTIFS('[stock.xlsx]Components'!$A:$A,B25)=0,"CHECK","OK")</f>
        <v>CHECK</v>
      </c>
    </row>
    <row r="26">
      <c r="A26" t="str">
        <v>SO-21490</v>
      </c>
      <c r="B26" t="str">
        <v>HS-90</v>
      </c>
      <c r="C26">
        <v>50</v>
      </c>
      <c r="D26" s="1" t="d">
        <v>2026-09-23T03:00:00.000Z</v>
      </c>
      <c r="E26" s="2">
        <f>D26-$M$1</f>
        <v>44</v>
      </c>
      <c r="F26" s="3">
        <f>VLOOKUP(B26,'[capacity.xlsx]Std Hours'!$A:$H,8,FALSE)</f>
        <v>5.5</v>
      </c>
      <c r="G26" s="4">
        <f>C26*F26</f>
        <v>275</v>
      </c>
      <c r="H26" t="str">
        <f>IF(COUNTIFS('[stock.xlsx]Components'!$A:$A,B26)=0,"CHECK","OK")</f>
        <v>CHECK</v>
      </c>
    </row>
    <row r="27">
      <c r="A27" t="str">
        <v>SO-21493</v>
      </c>
      <c r="B27" t="str">
        <v>FR-1800</v>
      </c>
      <c r="C27">
        <v>75</v>
      </c>
      <c r="D27" s="1" t="d">
        <v>2026-09-08T03:00:00.000Z</v>
      </c>
      <c r="E27" s="2">
        <f>D27-$M$1</f>
        <v>29</v>
      </c>
      <c r="F27" s="3">
        <f>VLOOKUP(B27,'[capacity.xlsx]Std Hours'!$A:$H,8,FALSE)</f>
        <v>3.75</v>
      </c>
      <c r="G27" s="4">
        <f>C27*F27</f>
        <v>281.25</v>
      </c>
      <c r="H27" t="str">
        <f>IF(COUNTIFS('[stock.xlsx]Components'!$A:$A,B27)=0,"CHECK","OK")</f>
        <v>CHECK</v>
      </c>
    </row>
    <row r="28">
      <c r="A28" t="str">
        <v>SO-21499</v>
      </c>
      <c r="B28" t="str">
        <v>FR-1200</v>
      </c>
      <c r="C28">
        <v>25</v>
      </c>
      <c r="D28" s="1" t="d">
        <v>2026-08-04T03:00:00.000Z</v>
      </c>
      <c r="E28" s="2">
        <f>D28-$M$1</f>
        <v>-6</v>
      </c>
      <c r="F28" s="3">
        <f>VLOOKUP(B28,'[capacity.xlsx]Std Hours'!$A:$H,8,FALSE)</f>
        <v>2.7</v>
      </c>
      <c r="G28" s="4">
        <f>C28*F28</f>
        <v>67.5</v>
      </c>
      <c r="H28" t="str">
        <f>IF(COUNTIFS('[stock.xlsx]Components'!$A:$A,B28)=0,"CHECK","OK")</f>
        <v>CHECK</v>
      </c>
    </row>
    <row r="29">
      <c r="A29" t="str">
        <v>SO-21502</v>
      </c>
      <c r="B29" t="str">
        <v>FR-1200</v>
      </c>
      <c r="C29">
        <v>3</v>
      </c>
      <c r="D29" s="1" t="d">
        <v>2026-08-22T03:00:00.000Z</v>
      </c>
      <c r="E29" s="2">
        <f>D29-$M$1</f>
        <v>12</v>
      </c>
      <c r="F29" s="3">
        <f>VLOOKUP(B29,'[capacity.xlsx]Std Hours'!$A:$H,8,FALSE)</f>
        <v>2.7</v>
      </c>
      <c r="G29" s="4">
        <f>C29*F29</f>
        <v>8.1</v>
      </c>
      <c r="H29" t="str">
        <f>IF(COUNTIFS('[stock.xlsx]Components'!$A:$A,B29)=0,"CHECK","OK")</f>
        <v>CHECK</v>
      </c>
    </row>
    <row r="30">
      <c r="A30" t="str">
        <v>SO-21505</v>
      </c>
      <c r="B30" t="str">
        <v>BR-450</v>
      </c>
      <c r="C30">
        <v>20</v>
      </c>
      <c r="D30" s="1" t="d">
        <v>2026-09-16T03:00:00.000Z</v>
      </c>
      <c r="E30" s="2">
        <f>D30-$M$1</f>
        <v>37</v>
      </c>
      <c r="F30" s="3">
        <f>VLOOKUP(B30,'[capacity.xlsx]Std Hours'!$A:$H,8,FALSE)</f>
        <v>0.64</v>
      </c>
      <c r="G30" s="4">
        <f>C30*F30</f>
        <v>12.8</v>
      </c>
      <c r="H30" t="str">
        <f>IF(COUNTIFS('[stock.xlsx]Components'!$A:$A,B30)=0,"CHECK","OK")</f>
        <v>CHECK</v>
      </c>
    </row>
    <row r="31">
      <c r="A31" t="str">
        <v>SO-21511</v>
      </c>
      <c r="B31" t="str">
        <v>HS-140</v>
      </c>
      <c r="C31">
        <v>20</v>
      </c>
      <c r="D31" s="1" t="d">
        <v>2026-08-23T03:00:00.000Z</v>
      </c>
      <c r="E31" s="2">
        <f>D31-$M$1</f>
        <v>13</v>
      </c>
      <c r="F31" s="3">
        <f>VLOOKUP(B31,'[capacity.xlsx]Std Hours'!$A:$H,8,FALSE)</f>
        <v>7.45</v>
      </c>
      <c r="G31" s="4">
        <f>C31*F31</f>
        <v>149</v>
      </c>
      <c r="H31" t="str">
        <f>IF(COUNTIFS('[stock.xlsx]Components'!$A:$A,B31)=0,"CHECK","OK")</f>
        <v>CHECK</v>
      </c>
    </row>
    <row r="32">
      <c r="A32" t="str">
        <v>SO-21514</v>
      </c>
      <c r="B32" t="str">
        <v>HS-140</v>
      </c>
      <c r="C32">
        <v>56</v>
      </c>
      <c r="D32" s="1" t="d">
        <v>2026-09-26T03:00:00.000Z</v>
      </c>
      <c r="E32" s="2">
        <f>D32-$M$1</f>
        <v>47</v>
      </c>
      <c r="F32" s="3">
        <f>VLOOKUP(B32,'[capacity.xlsx]Std Hours'!$A:$H,8,FALSE)</f>
        <v>7.45</v>
      </c>
      <c r="G32" s="4">
        <f>C32*F32</f>
        <v>417.2</v>
      </c>
      <c r="H32" t="str">
        <f>IF(COUNTIFS('[stock.xlsx]Components'!$A:$A,B32)=0,"CHECK","OK")</f>
        <v>CHECK</v>
      </c>
    </row>
    <row r="33">
      <c r="A33" t="str">
        <v>SO-21517</v>
      </c>
      <c r="B33" t="str">
        <v>HS-140</v>
      </c>
      <c r="C33">
        <v>27</v>
      </c>
      <c r="D33" s="1" t="d">
        <v>2026-10-04T03:00:00.000Z</v>
      </c>
      <c r="E33" s="2">
        <f>D33-$M$1</f>
        <v>55</v>
      </c>
      <c r="F33" s="3">
        <f>VLOOKUP(B33,'[capacity.xlsx]Std Hours'!$A:$H,8,FALSE)</f>
        <v>7.45</v>
      </c>
      <c r="G33" s="4">
        <f>C33*F33</f>
        <v>201.15</v>
      </c>
      <c r="H33" t="str">
        <f>IF(COUNTIFS('[stock.xlsx]Components'!$A:$A,B33)=0,"CHECK","OK")</f>
        <v>CHECK</v>
      </c>
    </row>
    <row r="34">
      <c r="A34" t="str">
        <v>SO-21520</v>
      </c>
      <c r="B34" t="str">
        <v>CV-75</v>
      </c>
      <c r="C34">
        <v>110</v>
      </c>
      <c r="D34" s="1" t="d">
        <v>2026-09-03T03:00:00.000Z</v>
      </c>
      <c r="E34" s="2">
        <f>D34-$M$1</f>
        <v>24</v>
      </c>
      <c r="F34" s="3">
        <f>VLOOKUP(B34,'[capacity.xlsx]Std Hours'!$A:$H,8,FALSE)</f>
        <v>3.95</v>
      </c>
      <c r="G34" s="4">
        <f>C34*F34</f>
        <v>434.5</v>
      </c>
      <c r="H34" t="str">
        <f>IF(COUNTIFS('[stock.xlsx]Components'!$A:$A,B34)=0,"CHECK","OK")</f>
        <v>CHECK</v>
      </c>
    </row>
    <row r="35">
      <c r="A35" t="str">
        <v>SO-21523</v>
      </c>
      <c r="B35" t="str">
        <v>CV-75</v>
      </c>
      <c r="C35">
        <v>70</v>
      </c>
      <c r="D35" s="1" t="d">
        <v>2026-08-05T03:00:00.000Z</v>
      </c>
      <c r="E35" s="2">
        <f>D35-$M$1</f>
        <v>-5</v>
      </c>
      <c r="F35" s="3">
        <f>VLOOKUP(B35,'[capacity.xlsx]Std Hours'!$A:$H,8,FALSE)</f>
        <v>3.95</v>
      </c>
      <c r="G35" s="4">
        <f>C35*F35</f>
        <v>276.5</v>
      </c>
      <c r="H35" t="str">
        <f>IF(COUNTIFS('[stock.xlsx]Components'!$A:$A,B35)=0,"CHECK","OK")</f>
        <v>CHECK</v>
      </c>
    </row>
  </sheetData>
  <ignoredErrors>
    <ignoredError numberStoredAsText="1" sqref="A1:M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