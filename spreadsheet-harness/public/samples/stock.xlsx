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nents" sheetId="1" r:id="rId1"/>
    <sheet name="BO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13.83203125" customWidth="1"/>
    <col min="2" max="2" width="30.83203125" customWidth="1"/>
    <col min="3" max="3" width="10.83203125" customWidth="1"/>
    <col min="4" max="4" width="11.83203125" customWidth="1"/>
    <col min="5" max="5" width="11.83203125" customWidth="1"/>
    <col min="6" max="6" width="15.83203125" customWidth="1"/>
    <col min="7" max="7" width="11.83203125" customWidth="1"/>
    <col min="8" max="8" width="17.83203125" customWidth="1"/>
    <col min="9" max="9" width="20.83203125" customWidth="1"/>
  </cols>
  <sheetData>
    <row r="1">
      <c r="A1" t="str">
        <v>Component</v>
      </c>
      <c r="B1" t="str">
        <v>Description</v>
      </c>
      <c r="C1" t="str">
        <v>On Hand</v>
      </c>
      <c r="D1" t="str">
        <v>Allocated</v>
      </c>
      <c r="E1" t="str">
        <v>Available</v>
      </c>
      <c r="F1" t="str">
        <v>Reorder Point</v>
      </c>
      <c r="G1" t="str">
        <v>Below ROP</v>
      </c>
      <c r="H1" t="str">
        <v>Lead Time (days)</v>
      </c>
      <c r="I1" t="str">
        <v>Supplier</v>
      </c>
    </row>
    <row r="2">
      <c r="A2" t="str">
        <v>RM-STL-3MM</v>
      </c>
      <c r="B2" t="str">
        <v>Steel sheet 3mm 2000x1000</v>
      </c>
      <c r="C2">
        <v>480</v>
      </c>
      <c r="D2">
        <v>145</v>
      </c>
      <c r="E2">
        <f>C2-D2</f>
        <v>335</v>
      </c>
      <c r="F2">
        <v>120</v>
      </c>
      <c r="G2" t="str">
        <f>IF(E2&lt;F2,"YES","")</f>
        <v/>
      </c>
      <c r="H2">
        <v>21</v>
      </c>
      <c r="I2" t="str">
        <v>Vandersteel BV</v>
      </c>
    </row>
    <row r="3">
      <c r="A3" t="str">
        <v>RM-STL-5MM</v>
      </c>
      <c r="B3" t="str">
        <v>Steel sheet 5mm 2000x1000</v>
      </c>
      <c r="C3">
        <v>210</v>
      </c>
      <c r="D3">
        <v>96</v>
      </c>
      <c r="E3">
        <f>C3-D3</f>
        <v>114</v>
      </c>
      <c r="F3">
        <v>80</v>
      </c>
      <c r="G3" t="str">
        <f>IF(E3&lt;F3,"YES","")</f>
        <v/>
      </c>
      <c r="H3">
        <v>21</v>
      </c>
      <c r="I3" t="str">
        <v>Vandersteel BV</v>
      </c>
    </row>
    <row r="4">
      <c r="A4" t="str">
        <v>RM-TUB-40</v>
      </c>
      <c r="B4" t="str">
        <v>Square tube 40x40x2</v>
      </c>
      <c r="C4">
        <v>1320</v>
      </c>
      <c r="D4">
        <v>610</v>
      </c>
      <c r="E4">
        <f>C4-D4</f>
        <v>710</v>
      </c>
      <c r="F4">
        <v>400</v>
      </c>
      <c r="G4" t="str">
        <f>IF(E4&lt;F4,"YES","")</f>
        <v/>
      </c>
      <c r="H4">
        <v>14</v>
      </c>
      <c r="I4" t="str">
        <v>Vandersteel BV</v>
      </c>
    </row>
    <row r="5">
      <c r="A5" t="str">
        <v>RM-TUB-60</v>
      </c>
      <c r="B5" t="str">
        <v>Square tube 60x60x3</v>
      </c>
      <c r="C5">
        <v>640</v>
      </c>
      <c r="D5">
        <v>388</v>
      </c>
      <c r="E5">
        <f>C5-D5</f>
        <v>252</v>
      </c>
      <c r="F5">
        <v>300</v>
      </c>
      <c r="G5" t="str">
        <f>IF(E5&lt;F5,"YES","")</f>
        <v>YES</v>
      </c>
      <c r="H5">
        <v>14</v>
      </c>
      <c r="I5" t="str">
        <v>Vandersteel BV</v>
      </c>
    </row>
    <row r="6">
      <c r="A6" t="str">
        <v>FS-M8-40</v>
      </c>
      <c r="B6" t="str">
        <v>Bolt M8x40 zinc</v>
      </c>
      <c r="C6">
        <v>8600</v>
      </c>
      <c r="D6">
        <v>2400</v>
      </c>
      <c r="E6">
        <f>C6-D6</f>
        <v>6200</v>
      </c>
      <c r="F6">
        <v>3000</v>
      </c>
      <c r="G6" t="str">
        <f>IF(E6&lt;F6,"YES","")</f>
        <v/>
      </c>
      <c r="H6">
        <v>7</v>
      </c>
      <c r="I6" t="str">
        <v>Kellner Fasteners</v>
      </c>
    </row>
    <row r="7">
      <c r="A7" t="str">
        <v>FS-M10-50</v>
      </c>
      <c r="B7" t="str">
        <v>Bolt M10x50 zinc</v>
      </c>
      <c r="C7">
        <v>5200</v>
      </c>
      <c r="D7">
        <v>1810</v>
      </c>
      <c r="E7">
        <f>C7-D7</f>
        <v>3390</v>
      </c>
      <c r="F7">
        <v>2000</v>
      </c>
      <c r="G7" t="str">
        <f>IF(E7&lt;F7,"YES","")</f>
        <v/>
      </c>
      <c r="H7">
        <v>7</v>
      </c>
      <c r="I7" t="str">
        <v>Kellner Fasteners</v>
      </c>
    </row>
    <row r="8">
      <c r="A8" t="str">
        <v>FS-NUT-M8</v>
      </c>
      <c r="B8" t="str">
        <v>Nyloc nut M8</v>
      </c>
      <c r="C8">
        <v>9400</v>
      </c>
      <c r="D8">
        <v>2600</v>
      </c>
      <c r="E8">
        <f>C8-D8</f>
        <v>6800</v>
      </c>
      <c r="F8">
        <v>3000</v>
      </c>
      <c r="G8" t="str">
        <f>IF(E8&lt;F8,"YES","")</f>
        <v/>
      </c>
      <c r="H8">
        <v>7</v>
      </c>
      <c r="I8" t="str">
        <v>Kellner Fasteners</v>
      </c>
    </row>
    <row r="9">
      <c r="A9" t="str">
        <v>BE-6204</v>
      </c>
      <c r="B9" t="str">
        <v>Bearing 6204-2RS</v>
      </c>
      <c r="C9">
        <v>340</v>
      </c>
      <c r="D9">
        <v>96</v>
      </c>
      <c r="E9">
        <f>C9-D9</f>
        <v>244</v>
      </c>
      <c r="F9">
        <v>120</v>
      </c>
      <c r="G9" t="str">
        <f>IF(E9&lt;F9,"YES","")</f>
        <v/>
      </c>
      <c r="H9">
        <v>35</v>
      </c>
      <c r="I9" t="str">
        <v>Rotex Supply</v>
      </c>
    </row>
    <row r="10">
      <c r="A10" t="str">
        <v>BE-6206</v>
      </c>
      <c r="B10" t="str">
        <v>Bearing 6206-2RS</v>
      </c>
      <c r="C10">
        <v>180</v>
      </c>
      <c r="D10">
        <v>132</v>
      </c>
      <c r="E10">
        <f>C10-D10</f>
        <v>48</v>
      </c>
      <c r="F10">
        <v>100</v>
      </c>
      <c r="G10" t="str">
        <f>IF(E10&lt;F10,"YES","")</f>
        <v>YES</v>
      </c>
      <c r="H10">
        <v>35</v>
      </c>
      <c r="I10" t="str">
        <v>Rotex Supply</v>
      </c>
    </row>
    <row r="11">
      <c r="A11" t="str">
        <v>MT-0R75</v>
      </c>
      <c r="B11" t="str">
        <v>Gearmotor 0.75kW</v>
      </c>
      <c r="C11">
        <v>42</v>
      </c>
      <c r="D11">
        <v>28</v>
      </c>
      <c r="E11">
        <f>C11-D11</f>
        <v>14</v>
      </c>
      <c r="F11">
        <v>25</v>
      </c>
      <c r="G11" t="str">
        <f>IF(E11&lt;F11,"YES","")</f>
        <v>YES</v>
      </c>
      <c r="H11">
        <v>56</v>
      </c>
      <c r="I11" t="str">
        <v>Drivetek GmbH</v>
      </c>
    </row>
    <row r="12">
      <c r="A12" t="str">
        <v>MT-1R50</v>
      </c>
      <c r="B12" t="str">
        <v>Gearmotor 1.5kW</v>
      </c>
      <c r="C12">
        <v>18</v>
      </c>
      <c r="D12">
        <v>16</v>
      </c>
      <c r="E12">
        <f>C12-D12</f>
        <v>2</v>
      </c>
      <c r="F12">
        <v>15</v>
      </c>
      <c r="G12" t="str">
        <f>IF(E12&lt;F12,"YES","")</f>
        <v>YES</v>
      </c>
      <c r="H12">
        <v>56</v>
      </c>
      <c r="I12" t="str">
        <v>Drivetek GmbH</v>
      </c>
    </row>
    <row r="13">
      <c r="A13" t="str">
        <v>PT-RAL7016</v>
      </c>
      <c r="B13" t="str">
        <v>Powder RAL7016 (kg)</v>
      </c>
      <c r="C13">
        <v>260</v>
      </c>
      <c r="D13">
        <v>88</v>
      </c>
      <c r="E13">
        <f>C13-D13</f>
        <v>172</v>
      </c>
      <c r="F13">
        <v>100</v>
      </c>
      <c r="G13" t="str">
        <f>IF(E13&lt;F13,"YES","")</f>
        <v/>
      </c>
      <c r="H13">
        <v>10</v>
      </c>
      <c r="I13" t="str">
        <v>Coatline Ltd</v>
      </c>
    </row>
    <row r="14">
      <c r="A14" t="str">
        <v>PT-RAL9005</v>
      </c>
      <c r="B14" t="str">
        <v>Powder RAL9005 (kg)</v>
      </c>
      <c r="C14">
        <v>95</v>
      </c>
      <c r="D14">
        <v>61</v>
      </c>
      <c r="E14">
        <f>C14-D14</f>
        <v>34</v>
      </c>
      <c r="F14">
        <v>80</v>
      </c>
      <c r="G14" t="str">
        <f>IF(E14&lt;F14,"YES","")</f>
        <v>YES</v>
      </c>
      <c r="H14">
        <v>10</v>
      </c>
      <c r="I14" t="str">
        <v>Coatline Ltd</v>
      </c>
    </row>
    <row r="15">
      <c r="A15" t="str">
        <v>EL-CTRL-A</v>
      </c>
      <c r="B15" t="str">
        <v>Control box type A</v>
      </c>
      <c r="C15">
        <v>64</v>
      </c>
      <c r="D15">
        <v>41</v>
      </c>
      <c r="E15">
        <f>C15-D15</f>
        <v>23</v>
      </c>
      <c r="F15">
        <v>30</v>
      </c>
      <c r="G15" t="str">
        <f>IF(E15&lt;F15,"YES","")</f>
        <v>YES</v>
      </c>
      <c r="H15">
        <v>42</v>
      </c>
      <c r="I15" t="str">
        <v>Nordic Panels</v>
      </c>
    </row>
    <row r="16">
      <c r="A16" t="str">
        <v>EL-CTRL-B</v>
      </c>
      <c r="B16" t="str">
        <v>Control box type B</v>
      </c>
      <c r="C16">
        <v>22</v>
      </c>
      <c r="D16">
        <v>24</v>
      </c>
      <c r="E16">
        <f>C16-D16</f>
        <v>-2</v>
      </c>
      <c r="F16">
        <v>20</v>
      </c>
      <c r="G16" t="str">
        <f>IF(E16&lt;F16,"YES","")</f>
        <v>YES</v>
      </c>
      <c r="H16">
        <v>42</v>
      </c>
      <c r="I16" t="str">
        <v>Nordic Panels</v>
      </c>
    </row>
    <row r="17">
      <c r="A17" t="str">
        <v>SL-RAIL-2M</v>
      </c>
      <c r="B17" t="str">
        <v>Slide rail 2m</v>
      </c>
      <c r="C17">
        <v>150</v>
      </c>
      <c r="D17">
        <v>74</v>
      </c>
      <c r="E17">
        <f>C17-D17</f>
        <v>76</v>
      </c>
      <c r="F17">
        <v>60</v>
      </c>
      <c r="G17" t="str">
        <f>IF(E17&lt;F17,"YES","")</f>
        <v/>
      </c>
      <c r="H17">
        <v>28</v>
      </c>
      <c r="I17" t="str">
        <v>Rotex Supply</v>
      </c>
    </row>
    <row r="18">
      <c r="A18" t="str">
        <v>WH-125</v>
      </c>
      <c r="B18" t="str">
        <v>Castor wheel 125mm</v>
      </c>
      <c r="C18">
        <v>420</v>
      </c>
      <c r="D18">
        <v>168</v>
      </c>
      <c r="E18">
        <f>C18-D18</f>
        <v>252</v>
      </c>
      <c r="F18">
        <v>150</v>
      </c>
      <c r="G18" t="str">
        <f>IF(E18&lt;F18,"YES","")</f>
        <v/>
      </c>
      <c r="H18">
        <v>21</v>
      </c>
      <c r="I18" t="str">
        <v>Rotex Supply</v>
      </c>
    </row>
    <row r="19">
      <c r="A19" t="str">
        <v>GK-EPDM-6</v>
      </c>
      <c r="B19" t="str">
        <v>EPDM gasket 6mm (m)</v>
      </c>
      <c r="C19">
        <v>300</v>
      </c>
      <c r="D19">
        <v>92</v>
      </c>
      <c r="E19">
        <f>C19-D19</f>
        <v>208</v>
      </c>
      <c r="F19">
        <v>100</v>
      </c>
      <c r="G19" t="str">
        <f>IF(E19&lt;F19,"YES","")</f>
        <v/>
      </c>
      <c r="H19">
        <v>14</v>
      </c>
      <c r="I19" t="str">
        <v>Coatline Ltd</v>
      </c>
    </row>
  </sheetData>
  <ignoredErrors>
    <ignoredError numberStoredAsText="1" sqref="A1:I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11.83203125" customWidth="1"/>
    <col min="2" max="2" width="14.83203125" customWidth="1"/>
    <col min="3" max="3" width="14.83203125" customWidth="1"/>
  </cols>
  <sheetData>
    <row r="1">
      <c r="A1" t="str">
        <v>Item Code</v>
      </c>
      <c r="B1" t="str">
        <v>Component</v>
      </c>
      <c r="C1" t="str">
        <v>Qty Per Unit</v>
      </c>
    </row>
    <row r="2">
      <c r="A2" t="str">
        <v>FR-1200</v>
      </c>
      <c r="B2" t="str">
        <v>RM-TUB-40</v>
      </c>
      <c r="C2">
        <v>6</v>
      </c>
    </row>
    <row r="3">
      <c r="A3" t="str">
        <v>FR-1200</v>
      </c>
      <c r="B3" t="str">
        <v>FS-M8-40</v>
      </c>
      <c r="C3">
        <v>12</v>
      </c>
    </row>
    <row r="4">
      <c r="A4" t="str">
        <v>FR-1200</v>
      </c>
      <c r="B4" t="str">
        <v>FS-NUT-M8</v>
      </c>
      <c r="C4">
        <v>12</v>
      </c>
    </row>
    <row r="5">
      <c r="A5" t="str">
        <v>FR-1200</v>
      </c>
      <c r="B5" t="str">
        <v>PT-RAL7016</v>
      </c>
      <c r="C5">
        <v>0.8</v>
      </c>
    </row>
    <row r="6">
      <c r="A6" t="str">
        <v>FR-1800</v>
      </c>
      <c r="B6" t="str">
        <v>RM-TUB-60</v>
      </c>
      <c r="C6">
        <v>7</v>
      </c>
    </row>
    <row r="7">
      <c r="A7" t="str">
        <v>FR-1800</v>
      </c>
      <c r="B7" t="str">
        <v>FS-M10-50</v>
      </c>
      <c r="C7">
        <v>16</v>
      </c>
    </row>
    <row r="8">
      <c r="A8" t="str">
        <v>FR-1800</v>
      </c>
      <c r="B8" t="str">
        <v>PT-RAL7016</v>
      </c>
      <c r="C8">
        <v>1.15</v>
      </c>
    </row>
    <row r="9">
      <c r="A9" t="str">
        <v>BR-450</v>
      </c>
      <c r="B9" t="str">
        <v>RM-STL-3MM</v>
      </c>
      <c r="C9">
        <v>0.35</v>
      </c>
    </row>
    <row r="10">
      <c r="A10" t="str">
        <v>BR-450</v>
      </c>
      <c r="B10" t="str">
        <v>FS-M8-40</v>
      </c>
      <c r="C10">
        <v>4</v>
      </c>
    </row>
    <row r="11">
      <c r="A11" t="str">
        <v>BR-450</v>
      </c>
      <c r="B11" t="str">
        <v>PT-RAL9005</v>
      </c>
      <c r="C11">
        <v>0.2</v>
      </c>
    </row>
    <row r="12">
      <c r="A12" t="str">
        <v>BR-620</v>
      </c>
      <c r="B12" t="str">
        <v>RM-STL-5MM</v>
      </c>
      <c r="C12">
        <v>0.5</v>
      </c>
    </row>
    <row r="13">
      <c r="A13" t="str">
        <v>BR-620</v>
      </c>
      <c r="B13" t="str">
        <v>FS-M10-50</v>
      </c>
      <c r="C13">
        <v>4</v>
      </c>
    </row>
    <row r="14">
      <c r="A14" t="str">
        <v>BR-620</v>
      </c>
      <c r="B14" t="str">
        <v>PT-RAL9005</v>
      </c>
      <c r="C14">
        <v>0.28</v>
      </c>
    </row>
    <row r="15">
      <c r="A15" t="str">
        <v>HS-90</v>
      </c>
      <c r="B15" t="str">
        <v>RM-STL-3MM</v>
      </c>
      <c r="C15">
        <v>1.2</v>
      </c>
    </row>
    <row r="16">
      <c r="A16" t="str">
        <v>HS-90</v>
      </c>
      <c r="B16" t="str">
        <v>GK-EPDM-6</v>
      </c>
      <c r="C16">
        <v>3.2</v>
      </c>
    </row>
    <row r="17">
      <c r="A17" t="str">
        <v>HS-90</v>
      </c>
      <c r="B17" t="str">
        <v>EL-CTRL-A</v>
      </c>
      <c r="C17">
        <v>1</v>
      </c>
    </row>
    <row r="18">
      <c r="A18" t="str">
        <v>HS-90</v>
      </c>
      <c r="B18" t="str">
        <v>PT-RAL7016</v>
      </c>
      <c r="C18">
        <v>1.4</v>
      </c>
    </row>
    <row r="19">
      <c r="A19" t="str">
        <v>HS-140</v>
      </c>
      <c r="B19" t="str">
        <v>RM-STL-5MM</v>
      </c>
      <c r="C19">
        <v>1.8</v>
      </c>
    </row>
    <row r="20">
      <c r="A20" t="str">
        <v>HS-140</v>
      </c>
      <c r="B20" t="str">
        <v>GK-EPDM-6</v>
      </c>
      <c r="C20">
        <v>4.4</v>
      </c>
    </row>
    <row r="21">
      <c r="A21" t="str">
        <v>HS-140</v>
      </c>
      <c r="B21" t="str">
        <v>EL-CTRL-B</v>
      </c>
      <c r="C21">
        <v>1</v>
      </c>
    </row>
    <row r="22">
      <c r="A22" t="str">
        <v>HS-140</v>
      </c>
      <c r="B22" t="str">
        <v>PT-RAL7016</v>
      </c>
      <c r="C22">
        <v>1.9</v>
      </c>
    </row>
    <row r="23">
      <c r="A23" t="str">
        <v>PL-330</v>
      </c>
      <c r="B23" t="str">
        <v>RM-STL-5MM</v>
      </c>
      <c r="C23">
        <v>0.42</v>
      </c>
    </row>
    <row r="24">
      <c r="A24" t="str">
        <v>PL-330</v>
      </c>
      <c r="B24" t="str">
        <v>FS-M10-50</v>
      </c>
      <c r="C24">
        <v>6</v>
      </c>
    </row>
    <row r="25">
      <c r="A25" t="str">
        <v>CV-75</v>
      </c>
      <c r="B25" t="str">
        <v>RM-TUB-40</v>
      </c>
      <c r="C25">
        <v>4</v>
      </c>
    </row>
    <row r="26">
      <c r="A26" t="str">
        <v>CV-75</v>
      </c>
      <c r="B26" t="str">
        <v>BE-6204</v>
      </c>
      <c r="C26">
        <v>4</v>
      </c>
    </row>
    <row r="27">
      <c r="A27" t="str">
        <v>CV-75</v>
      </c>
      <c r="B27" t="str">
        <v>MT-0R75</v>
      </c>
      <c r="C27">
        <v>1</v>
      </c>
    </row>
    <row r="28">
      <c r="A28" t="str">
        <v>CV-75</v>
      </c>
      <c r="B28" t="str">
        <v>SL-RAIL-2M</v>
      </c>
      <c r="C28">
        <v>2</v>
      </c>
    </row>
    <row r="29">
      <c r="A29" t="str">
        <v>CV-75</v>
      </c>
      <c r="B29" t="str">
        <v>WH-125</v>
      </c>
      <c r="C29">
        <v>4</v>
      </c>
    </row>
  </sheetData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Components</vt:lpstr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