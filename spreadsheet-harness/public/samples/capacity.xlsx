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 Centers" sheetId="1" r:id="rId1"/>
    <sheet name="Std Hou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cols>
    <col min="1" max="1" width="13.83203125" customWidth="1"/>
    <col min="2" max="2" width="28.83203125" customWidth="1"/>
    <col min="3" max="3" width="10.83203125" customWidth="1"/>
    <col min="4" max="4" width="11.83203125" customWidth="1"/>
    <col min="5" max="5" width="12.83203125" customWidth="1"/>
    <col min="6" max="6" width="11.83203125" customWidth="1"/>
    <col min="7" max="7" width="16.83203125" customWidth="1"/>
    <col min="8" max="8" width="11.83203125" customWidth="1"/>
    <col min="9" max="9" width="19.83203125" customWidth="1"/>
  </cols>
  <sheetData>
    <row r="1">
      <c r="A1" t="str">
        <v>Work Center</v>
      </c>
      <c r="B1" t="str">
        <v>Description</v>
      </c>
      <c r="C1" t="str">
        <v>Machines</v>
      </c>
      <c r="D1" t="str">
        <v>Shifts/Day</v>
      </c>
      <c r="E1" t="str">
        <v>Hours/Shift</v>
      </c>
      <c r="F1" t="str">
        <v>Days/Week</v>
      </c>
      <c r="G1" t="str">
        <v>Gross Hrs/Week</v>
      </c>
      <c r="H1" t="str">
        <v>Efficiency</v>
      </c>
      <c r="I1" t="str">
        <v>Effective Hrs/Week</v>
      </c>
    </row>
    <row r="2">
      <c r="A2" t="str">
        <v>CUT</v>
      </c>
      <c r="B2" t="str">
        <v>Laser &amp; saw cutting</v>
      </c>
      <c r="C2">
        <v>2</v>
      </c>
      <c r="D2">
        <v>2</v>
      </c>
      <c r="E2">
        <v>7.5</v>
      </c>
      <c r="F2">
        <v>5</v>
      </c>
      <c r="G2" s="1">
        <f>C2*D2*E2*F2</f>
        <v>150</v>
      </c>
      <c r="H2" s="2">
        <v>0.88</v>
      </c>
      <c r="I2" s="1">
        <f>G2*H2</f>
        <v>132</v>
      </c>
    </row>
    <row r="3">
      <c r="A3" t="str">
        <v>WELD</v>
      </c>
      <c r="B3" t="str">
        <v>Robot + manual weld cells</v>
      </c>
      <c r="C3">
        <v>4</v>
      </c>
      <c r="D3">
        <v>2</v>
      </c>
      <c r="E3">
        <v>7.5</v>
      </c>
      <c r="F3">
        <v>5</v>
      </c>
      <c r="G3" s="1">
        <f>C3*D3*E3*F3</f>
        <v>300</v>
      </c>
      <c r="H3" s="2">
        <v>0.8</v>
      </c>
      <c r="I3" s="1">
        <f>G3*H3</f>
        <v>240</v>
      </c>
    </row>
    <row r="4">
      <c r="A4" t="str">
        <v>MACH</v>
      </c>
      <c r="B4" t="str">
        <v>CNC machining</v>
      </c>
      <c r="C4">
        <v>3</v>
      </c>
      <c r="D4">
        <v>3</v>
      </c>
      <c r="E4">
        <v>7.5</v>
      </c>
      <c r="F4">
        <v>5</v>
      </c>
      <c r="G4" s="1">
        <f>C4*D4*E4*F4</f>
        <v>337.5</v>
      </c>
      <c r="H4" s="2">
        <v>0.85</v>
      </c>
      <c r="I4" s="1">
        <f>G4*H4</f>
        <v>286.88</v>
      </c>
    </row>
    <row r="5">
      <c r="A5" t="str">
        <v>PAINT</v>
      </c>
      <c r="B5" t="str">
        <v>Powder coat line</v>
      </c>
      <c r="C5">
        <v>1</v>
      </c>
      <c r="D5">
        <v>2</v>
      </c>
      <c r="E5">
        <v>7.5</v>
      </c>
      <c r="F5">
        <v>5</v>
      </c>
      <c r="G5" s="1">
        <f>C5*D5*E5*F5</f>
        <v>75</v>
      </c>
      <c r="H5" s="2">
        <v>0.75</v>
      </c>
      <c r="I5" s="1">
        <f>G5*H5</f>
        <v>56.25</v>
      </c>
    </row>
    <row r="6">
      <c r="A6" t="str">
        <v>ASSY</v>
      </c>
      <c r="B6" t="str">
        <v>Final assembly benches</v>
      </c>
      <c r="C6">
        <v>6</v>
      </c>
      <c r="D6">
        <v>1</v>
      </c>
      <c r="E6">
        <v>7.5</v>
      </c>
      <c r="F6">
        <v>5</v>
      </c>
      <c r="G6" s="1">
        <f>C6*D6*E6*F6</f>
        <v>225</v>
      </c>
      <c r="H6" s="2">
        <v>0.9</v>
      </c>
      <c r="I6" s="1">
        <f>G6*H6</f>
        <v>202.5</v>
      </c>
    </row>
    <row r="7">
      <c r="A7" t="str">
        <v>TEST</v>
      </c>
      <c r="B7" t="str">
        <v>Test &amp; inspection</v>
      </c>
      <c r="C7">
        <v>2</v>
      </c>
      <c r="D7">
        <v>1</v>
      </c>
      <c r="E7">
        <v>7.5</v>
      </c>
      <c r="F7">
        <v>5</v>
      </c>
      <c r="G7" s="1">
        <f>C7*D7*E7*F7</f>
        <v>75</v>
      </c>
      <c r="H7" s="2">
        <v>0.92</v>
      </c>
      <c r="I7" s="1">
        <f>G7*H7</f>
        <v>69</v>
      </c>
    </row>
  </sheetData>
  <ignoredErrors>
    <ignoredError numberStoredAsText="1" sqref="A1:I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cols>
    <col min="1" max="1" width="11.83203125" customWidth="1"/>
    <col min="2" max="2" width="8.83203125" customWidth="1"/>
    <col min="3" max="3" width="8.83203125" customWidth="1"/>
    <col min="4" max="4" width="8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</cols>
  <sheetData>
    <row r="1">
      <c r="A1" t="str">
        <v>Item Code</v>
      </c>
      <c r="B1" t="str">
        <v>CUT</v>
      </c>
      <c r="C1" t="str">
        <v>WELD</v>
      </c>
      <c r="D1" t="str">
        <v>MACH</v>
      </c>
      <c r="E1" t="str">
        <v>PAINT</v>
      </c>
      <c r="F1" t="str">
        <v>ASSY</v>
      </c>
      <c r="G1" t="str">
        <v>TEST</v>
      </c>
      <c r="H1" t="str">
        <v>Total Hrs/Unit</v>
      </c>
    </row>
    <row r="2">
      <c r="A2" t="str">
        <v>FR-1200</v>
      </c>
      <c r="B2">
        <v>0.35</v>
      </c>
      <c r="C2">
        <v>1.1</v>
      </c>
      <c r="D2">
        <v>0</v>
      </c>
      <c r="E2">
        <v>0.45</v>
      </c>
      <c r="F2">
        <v>0.8</v>
      </c>
      <c r="G2">
        <v>0</v>
      </c>
      <c r="H2" s="3">
        <f>SUM(B2:G2)</f>
        <v>2.7</v>
      </c>
    </row>
    <row r="3">
      <c r="A3" t="str">
        <v>FR-1800</v>
      </c>
      <c r="B3">
        <v>0.5</v>
      </c>
      <c r="C3">
        <v>1.6</v>
      </c>
      <c r="D3">
        <v>0</v>
      </c>
      <c r="E3">
        <v>0.6</v>
      </c>
      <c r="F3">
        <v>1.05</v>
      </c>
      <c r="G3">
        <v>0</v>
      </c>
      <c r="H3" s="3">
        <f>SUM(B3:G3)</f>
        <v>3.75</v>
      </c>
    </row>
    <row r="4">
      <c r="A4" t="str">
        <v>BR-450</v>
      </c>
      <c r="B4">
        <v>0.12</v>
      </c>
      <c r="C4">
        <v>0</v>
      </c>
      <c r="D4">
        <v>0.34</v>
      </c>
      <c r="E4">
        <v>0.18</v>
      </c>
      <c r="F4">
        <v>0</v>
      </c>
      <c r="G4">
        <v>0</v>
      </c>
      <c r="H4" s="3">
        <f>SUM(B4:G4)</f>
        <v>0.64</v>
      </c>
    </row>
    <row r="5">
      <c r="A5" t="str">
        <v>BR-620</v>
      </c>
      <c r="B5">
        <v>0.16</v>
      </c>
      <c r="C5">
        <v>0</v>
      </c>
      <c r="D5">
        <v>0.44</v>
      </c>
      <c r="E5">
        <v>0.22</v>
      </c>
      <c r="F5">
        <v>0</v>
      </c>
      <c r="G5">
        <v>0</v>
      </c>
      <c r="H5" s="3">
        <f>SUM(B5:G5)</f>
        <v>0.82</v>
      </c>
    </row>
    <row r="6">
      <c r="A6" t="str">
        <v>HS-90</v>
      </c>
      <c r="B6">
        <v>0.6</v>
      </c>
      <c r="C6">
        <v>1.35</v>
      </c>
      <c r="D6">
        <v>0.9</v>
      </c>
      <c r="E6">
        <v>0.7</v>
      </c>
      <c r="F6">
        <v>1.4</v>
      </c>
      <c r="G6">
        <v>0.55</v>
      </c>
      <c r="H6" s="3">
        <f>SUM(B6:G6)</f>
        <v>5.5</v>
      </c>
    </row>
    <row r="7">
      <c r="A7" t="str">
        <v>HS-140</v>
      </c>
      <c r="B7">
        <v>0.85</v>
      </c>
      <c r="C7">
        <v>1.9</v>
      </c>
      <c r="D7">
        <v>1.25</v>
      </c>
      <c r="E7">
        <v>0.95</v>
      </c>
      <c r="F7">
        <v>1.8</v>
      </c>
      <c r="G7">
        <v>0.7</v>
      </c>
      <c r="H7" s="3">
        <f>SUM(B7:G7)</f>
        <v>7.45</v>
      </c>
    </row>
    <row r="8">
      <c r="A8" t="str">
        <v>PL-330</v>
      </c>
      <c r="B8">
        <v>0.22</v>
      </c>
      <c r="C8">
        <v>0</v>
      </c>
      <c r="D8">
        <v>0.5</v>
      </c>
      <c r="E8">
        <v>0</v>
      </c>
      <c r="F8">
        <v>0</v>
      </c>
      <c r="G8">
        <v>0</v>
      </c>
      <c r="H8" s="3">
        <f>SUM(B8:G8)</f>
        <v>0.72</v>
      </c>
    </row>
    <row r="9">
      <c r="A9" t="str">
        <v>CV-75</v>
      </c>
      <c r="B9">
        <v>0.7</v>
      </c>
      <c r="C9">
        <v>1.25</v>
      </c>
      <c r="D9">
        <v>0</v>
      </c>
      <c r="E9">
        <v>0</v>
      </c>
      <c r="F9">
        <v>1.6</v>
      </c>
      <c r="G9">
        <v>0.4</v>
      </c>
      <c r="H9" s="3">
        <f>SUM(B9:G9)</f>
        <v>3.95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 Centers</vt:lpstr>
      <vt:lpstr>Std Hours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